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Executive Summary" sheetId="1" r:id="rId5"/>
    <sheet state="visible" name="2. Company &amp; Organization" sheetId="2" r:id="rId6"/>
    <sheet state="visible" name="3. Market Analysis" sheetId="3" r:id="rId7"/>
    <sheet state="visible" name="4. Services &amp; Pricing" sheetId="4" r:id="rId8"/>
    <sheet state="visible" name="5. Marketing &amp; Sales" sheetId="5" r:id="rId9"/>
    <sheet state="visible" name="6. Operations" sheetId="6" r:id="rId10"/>
    <sheet state="visible" name="7. Financial Model" sheetId="7" r:id="rId11"/>
    <sheet state="visible" name="8. Projections" sheetId="8" r:id="rId12"/>
    <sheet state="visible" name="9. Startup &amp; Deployment" sheetId="9" r:id="rId13"/>
    <sheet state="visible" name="10. SWOT &amp; Risk Register" sheetId="10" r:id="rId14"/>
    <sheet state="visible" name="11. Certifications &amp; Growth" sheetId="11" r:id="rId15"/>
    <sheet state="visible" name="12. Exit &amp; Fallback" sheetId="12" r:id="rId16"/>
    <sheet state="visible" name="13. Anticipated Questions" sheetId="13" r:id="rId17"/>
    <sheet state="visible" name="14. Sources" sheetId="14" r:id="rId18"/>
  </sheets>
  <definedNames/>
  <calcPr/>
</workbook>
</file>

<file path=xl/sharedStrings.xml><?xml version="1.0" encoding="utf-8"?>
<sst xmlns="http://schemas.openxmlformats.org/spreadsheetml/2006/main" count="1224" uniqueCount="1098">
  <si>
    <t>MARKET ANALYSIS</t>
  </si>
  <si>
    <t>THE RELIEF PROS, LLC — BOOKKEEPING SERVICES</t>
  </si>
  <si>
    <t>COMPANY &amp; ORGANIZATION</t>
  </si>
  <si>
    <t>SERVICES &amp; PRICING</t>
  </si>
  <si>
    <t>Legal structure, ownership, roles, and governance</t>
  </si>
  <si>
    <t>Market size, competition, target client, and the honest saturation question</t>
  </si>
  <si>
    <t>Texas LLC, 100% women-owned · Dallas-Fort Worth · Business plan prepared July 2026 · "Relief from the back office"</t>
  </si>
  <si>
    <t>What the firm sells, what it refuses to sell, and how money is collected</t>
  </si>
  <si>
    <t>Legal Structure (existing — verified with owners July 2026)</t>
  </si>
  <si>
    <t>Market Size &amp; Structure (Dallas-Fort Worth)</t>
  </si>
  <si>
    <t>The Business</t>
  </si>
  <si>
    <t>Service Menu</t>
  </si>
  <si>
    <t>The Relief Pros, LLC provides fixed-fee monthly bookkeeping and books-cleanup services to Dallas-Fort Worth small businesses, delivered remotely on QuickBooks Online. The practice is owned and controlled by Sarah Bowen, MBA (100% owner; all service delivery, accounting judgment, and client relationships). Her husband Brad, a disabled veteran and experienced software builder, provides technical and administrative support under her direction: the website, SEO and Google Business Profile, the client document portal, receipt pipelines, invoicing, and ACH autodraft payment collection. Every client is on autodraft from day one, so the firm carries zero accounts receivable by design. The firm sells continuity and judgment: one named professional who answers, in a market whose low-price tier has repeatedly collapsed (Bench, Dec 2024; Botkeeper, Feb 2026) and whose largest vendor (Intuit) is retiring its competing QuickBooks Live service effective July 29, 2026, publicly refocusing on supporting independent bookkeepers.</t>
  </si>
  <si>
    <t>Item</t>
  </si>
  <si>
    <t>Measure</t>
  </si>
  <si>
    <t>Service</t>
  </si>
  <si>
    <t>The Opportunity in Five Numbers</t>
  </si>
  <si>
    <t>Status</t>
  </si>
  <si>
    <t>Value</t>
  </si>
  <si>
    <t>Price</t>
  </si>
  <si>
    <t>Number</t>
  </si>
  <si>
    <t>Detail</t>
  </si>
  <si>
    <t>Implication</t>
  </si>
  <si>
    <t>What is included</t>
  </si>
  <si>
    <t>Action needed</t>
  </si>
  <si>
    <t/>
  </si>
  <si>
    <t>Source grade</t>
  </si>
  <si>
    <t>Notes</t>
  </si>
  <si>
    <t>What it means</t>
  </si>
  <si>
    <t>Entity</t>
  </si>
  <si>
    <t>DFW small businesses</t>
  </si>
  <si>
    <t>COMPLETE</t>
  </si>
  <si>
    <t>Monthly bookkeeping — Starter</t>
  </si>
  <si>
    <t>988,987</t>
  </si>
  <si>
    <t>$350/mo</t>
  </si>
  <si>
    <t>The Relief Pros, LLC — Texas limited liability company. The entity is dedicated: no other ventures operate under it, so no cross-liability with unrelated activities.</t>
  </si>
  <si>
    <t>#5 US metro by small-business count. Even a 0.0015% share (15 clients) fills the solo capacity ceiling — the plan does not require meaningful market share.</t>
  </si>
  <si>
    <t>None</t>
  </si>
  <si>
    <t>Up to 2 accounts, ~100 transactions: categorization, bank/credit-card reconciliation, monthly P&amp;L + balance sheet, closing-date lock</t>
  </si>
  <si>
    <t>Verified (SBA 2025 metro profile)</t>
  </si>
  <si>
    <t>Operating name</t>
  </si>
  <si>
    <t>#5 US metro; no dominant local brand (top firm: 74 Google reviews)</t>
  </si>
  <si>
    <t>Entry tier; where most first-ten clients land</t>
  </si>
  <si>
    <t>New TX business filings, DFW share</t>
  </si>
  <si>
    <t>DECIDED</t>
  </si>
  <si>
    <t>~11,000-13,000/month</t>
  </si>
  <si>
    <t>Monthly bookkeeping — Standard</t>
  </si>
  <si>
    <t>National price umbrella</t>
  </si>
  <si>
    <t>$300-$700/mo</t>
  </si>
  <si>
    <t>The firm operates under the LLC's legal name directly — no DBA. "The Relief Pros" contains no restricted terms; Texas law prohibits non-CPAs from using "accountant" or "accounting services" in public offers (TSBPA enforcement guidance), so all marketing uses "bookkeeping." Google Business Profile category: "Bookkeeping service." A DBA (Form 503, $25) remains available later if marketing ever demands a more descriptive name.</t>
  </si>
  <si>
    <t>Top-of-funnel only: new businesses are broke and die fast (48.6% gone in 5 years). Used as a drip list that matures — a filing from 12 months ago is a business with revenue, a shoebox of receipts, and its first tax-season panic.</t>
  </si>
  <si>
    <t>$450-$550/mo</t>
  </si>
  <si>
    <t>None now</t>
  </si>
  <si>
    <t>Verified count; honest reframe applied</t>
  </si>
  <si>
    <t>Up to 4 accounts, ~250 transactions: everything in Starter + loan tie-outs, A/R-A/P aging review, monthly summary note in plain English</t>
  </si>
  <si>
    <t>Set by QuickBooks Live, Xendoo, Bookkeeper360; independents price at or above it</t>
  </si>
  <si>
    <t>Ownership &amp; control</t>
  </si>
  <si>
    <t>Employed bookkeepers, DFW</t>
  </si>
  <si>
    <t>Core tier at maturity</t>
  </si>
  <si>
    <t>34,930 (median wage $51,720)</t>
  </si>
  <si>
    <t>Bookkeeper supply</t>
  </si>
  <si>
    <t>Sarah Bowen is the 100% owner. SBA WOSB rules (13 CFR 127) determine ownership without regard to community property law, so 100% ownership in a community-property state is clean. Control: Sarah is the highest officer and controls day-to-day operations and long-term decisions — the operating agreement should say so explicitly (one-hour attorney review).</t>
  </si>
  <si>
    <t>-6% by 2034</t>
  </si>
  <si>
    <t>Monthly bookkeeping — Complex</t>
  </si>
  <si>
    <t>One-hour operating-agreement language check before WOSB filing</t>
  </si>
  <si>
    <t>Deep incumbent labor pool, but almost all W-2 employees — the competitive set for a firm is far smaller.</t>
  </si>
  <si>
    <t>$650-$950/mo</t>
  </si>
  <si>
    <t>EIN / bank</t>
  </si>
  <si>
    <t>BLS projection; ~170,000 annual openings, all from replacement need, none from growth</t>
  </si>
  <si>
    <t>Verified (BLS OEWS May 2025, via API)</t>
  </si>
  <si>
    <t>Contractors/restaurants: job costing or POS reconciliation, class tracking, subcontractor 1099 tracking, monthly review call</t>
  </si>
  <si>
    <t>Bookkeeping occupation trend</t>
  </si>
  <si>
    <t>Client lifetime (12% churn)</t>
  </si>
  <si>
    <t>EIN issued; business checking open.</t>
  </si>
  <si>
    <t>-6% by 2034; ~170,000 openings/yr, 100% from replacement</t>
  </si>
  <si>
    <t>~8 years</t>
  </si>
  <si>
    <t>Niche tier; where the 51% niche premium lives</t>
  </si>
  <si>
    <t>The occupation shrinks while replacement demand stays high: retiring solo practitioners are literally the acquisition pipeline (Tab 11 expansion section).</t>
  </si>
  <si>
    <t>Annual compliance</t>
  </si>
  <si>
    <t>Verified (BLS Employment Projections 2024-34)</t>
  </si>
  <si>
    <t>Diagnostic review</t>
  </si>
  <si>
    <t>Monthly bookkeeping is the stickiest recurring service asset class</t>
  </si>
  <si>
    <t>CURRENT</t>
  </si>
  <si>
    <t>Franchise tax / Public Information Report filed annually by the family's CPA; filings are current. ($0 tax below the no-tax-due threshold, but the filing itself is mandatory.)</t>
  </si>
  <si>
    <t>$300-$500 flat, paid upfront</t>
  </si>
  <si>
    <t>Continue CPA engagement</t>
  </si>
  <si>
    <t>Set by QuickBooks Live (retiring July 29, 2026), Xendoo, Bookkeeper360. Independents price at or above it. The firm never needs to price under $300 to win.</t>
  </si>
  <si>
    <t>Startup cash required</t>
  </si>
  <si>
    <t>Read-only review of an existing file: reconciliation status, Opening Balance Equity check, Undeposited Funds check, uncategorized backlog count, written findings</t>
  </si>
  <si>
    <t>Verified (published pricing pages)</t>
  </si>
  <si>
    <t>Under $700</t>
  </si>
  <si>
    <t>Insurance</t>
  </si>
  <si>
    <t>Credited 100% against cleanup if engaged; converts tire-kickers into evidence</t>
  </si>
  <si>
    <t>BEFORE CLIENT #1</t>
  </si>
  <si>
    <t>The Competitive Collapse at the Low End (why the umbrella holds)</t>
  </si>
  <si>
    <t>Entity, EIN, and bank account already exist; certification is free; insurance is the main cost</t>
  </si>
  <si>
    <t>E&amp;O professional liability $1M/$1M (~$37-50/mo) naming the LLC and covering both individuals performing services; claims-made policy, so the retroactive date must precede the first engagement. Cyber liability (~$47/mo) before holding client credentials.</t>
  </si>
  <si>
    <t>Cleanup / catch-up projects</t>
  </si>
  <si>
    <t>Bind E&amp;O at launch; declare full service scope on application</t>
  </si>
  <si>
    <t>2-2.5x monthly rate per month of mess</t>
  </si>
  <si>
    <t>Competitor</t>
  </si>
  <si>
    <t>Financial Snapshot (Moderate Case)</t>
  </si>
  <si>
    <t>What happened</t>
  </si>
  <si>
    <t>Roles &amp; Division of Labor</t>
  </si>
  <si>
    <t>12-step cleanup order (audit COA first, then vendors, feeds, categorize, reconcile oldest-to-newest, tie to filed returns, lock)</t>
  </si>
  <si>
    <t>What it proves</t>
  </si>
  <si>
    <t>Date</t>
  </si>
  <si>
    <t>50% deposit before work, balance on delivery; benchmark: a 12-month cleanup runs 40-60 hours</t>
  </si>
  <si>
    <t>Milestone</t>
  </si>
  <si>
    <t>Year-end 1099 preparation</t>
  </si>
  <si>
    <t>Bench Accounting</t>
  </si>
  <si>
    <t>Clients</t>
  </si>
  <si>
    <t>Per-form January fee</t>
  </si>
  <si>
    <t>$100M+ raised; abrupt shutdown/bankruptcy, $65.4M liabilities; thousands of clients stranded mid-year</t>
  </si>
  <si>
    <t>Recurring revenue</t>
  </si>
  <si>
    <t>Venture-scaled cheap human bookkeeping is structurally unprofitable; stranded clients now distrust anonymous providers</t>
  </si>
  <si>
    <t>1099-NEC/MISC prep and filing; W-9s collected at client onboarding, not in January</t>
  </si>
  <si>
    <t>Role architecture note: Sarah owns and controls the firm — every description below is written the way SBA examiners will read it for the WOSB control test. Brad provides technical and administrative services under her direction. He makes no accounting judgments; anything ambiguous goes to Sarah's review queue. He also never holds payment authority over any client's payroll or tax accounts (see the Trust Fund Recovery Penalty guardrail, Tab 6).</t>
  </si>
  <si>
    <t>Cleanup revenue</t>
  </si>
  <si>
    <t>Dec 2024</t>
  </si>
  <si>
    <t>Counter-seasonal revenue; Jan 31 IRS deadline</t>
  </si>
  <si>
    <t>Total revenue</t>
  </si>
  <si>
    <t>Role</t>
  </si>
  <si>
    <t>Botkeeper</t>
  </si>
  <si>
    <t>Timing</t>
  </si>
  <si>
    <t>~$90M raised; shut down</t>
  </si>
  <si>
    <t>Who</t>
  </si>
  <si>
    <t>Deliberately Excluded Services (and why)</t>
  </si>
  <si>
    <t>The "AI bookkeeper" at scale did not survive contact with real books</t>
  </si>
  <si>
    <t>Responsibilities</t>
  </si>
  <si>
    <t>Operating break-even</t>
  </si>
  <si>
    <t>Feb 2026</t>
  </si>
  <si>
    <t>Boundary</t>
  </si>
  <si>
    <t>QuickBooks Live</t>
  </si>
  <si>
    <t>Principal — owns and controls the firm</t>
  </si>
  <si>
    <t>First retainer covers all fixed costs</t>
  </si>
  <si>
    <t>Intuit is retiring its own $300/mo competing service, citing damage to its accountant channel. ANNOUNCED, effective July 29, 2026 — two days after this plan was written. Treat as in progress, not completed, until confirmed.</t>
  </si>
  <si>
    <t>Sarah Bowen, MBA</t>
  </si>
  <si>
    <t>n/a</t>
  </si>
  <si>
    <t>The largest vendor chose the independent-bookkeeper channel over competing with it</t>
  </si>
  <si>
    <t>All accounting judgment: chart of accounts design, reconciliation problem-solving, journal entries, month-end close, financial statement review, client advisory conversations. Signs engagement letters, sets pricing, hires, and makes every strategic decision. Final review of all work product.</t>
  </si>
  <si>
    <t>Excluded</t>
  </si>
  <si>
    <t>Profitable from client #1</t>
  </si>
  <si>
    <t>Effective 7/29/2026</t>
  </si>
  <si>
    <t>Sole authority on accounting judgments and firm decisions</t>
  </si>
  <si>
    <t>Month 1-2</t>
  </si>
  <si>
    <t>Intuit (company-wide)</t>
  </si>
  <si>
    <t>Reason</t>
  </si>
  <si>
    <t>17% workforce reduction while pivoting to an "AI-native platform" (SEC 8-K)</t>
  </si>
  <si>
    <t>Web presence &amp; lead generation (under Sarah's direction)</t>
  </si>
  <si>
    <t>Exit Year 1</t>
  </si>
  <si>
    <t>Platform risk is real: Intuit is simultaneously the firm's channel and a potential future competitor — hence the Xero hedge and pass-through billing design</t>
  </si>
  <si>
    <t>What we do instead</t>
  </si>
  <si>
    <t>Brad Bowen</t>
  </si>
  <si>
    <t>May 2026</t>
  </si>
  <si>
    <t>$48,600/yr run-rate ($450 avg)</t>
  </si>
  <si>
    <t>Builds and runs the website; SEO; Google Business Profile setup and map-pack optimization; directory profiles (Find-a-ProAdvisor, Clutch, local citations); review-request system; lead lists from new-business filings; outreach sequences Sarah approves.</t>
  </si>
  <si>
    <t>Revisit when</t>
  </si>
  <si>
    <t>Local Competition &amp; the Saturation Question (answered honestly)</t>
  </si>
  <si>
    <t>Marketing infrastructure only; Sarah approves all client-facing positioning</t>
  </si>
  <si>
    <t>$15,000-$30,000</t>
  </si>
  <si>
    <t>$40,000-$60,000 collected</t>
  </si>
  <si>
    <t>Client operations &amp; document pipeline (under Sarah's direction)</t>
  </si>
  <si>
    <t>Tax preparation</t>
  </si>
  <si>
    <t>Month 12</t>
  </si>
  <si>
    <t>Out of scope by owner decision; different liability profile and seasonal crush</t>
  </si>
  <si>
    <t>Solo delivery ceiling</t>
  </si>
  <si>
    <t>Barriers to entry are low — no license is required in Texas, and anyone can call themselves a bookkeeper. So the market is crowded at the commodity layer and thin at the trust layer: the most-reviewed dedicated bookkeeping firm found in DFW has 74 Google reviews, which means no local brand owns the metro. Fragmentation is the norm; word-of-mouth and referral relationships allocate most clients (57% of accounting clients come from referrals vs ~3% from ads). The plan's answer to saturation is not to out-advertise the crowd but to (1) specialize in two niches where books are genuinely hard, (2) look more established than the crowd (professional site, map pack, reviews, portal — Brad's build list), and (3) win the referral layer through CPA relationships. What this plan does NOT claim: that showing up is enough. The 90-day validation sprint (Tab 5) exists precisely because acquisition, not delivery, is the unproven step.</t>
  </si>
  <si>
    <t>Builds and runs the client document upload portal and Dropbox file system; receipt collection and chasing; onboarding logistics (checklists, access requests, W-9 collection at signup); bank-feed rule setup per Sarah's specifications; software administration; scheduling; records archive.</t>
  </si>
  <si>
    <t>$117,000/yr ($650 avg, matured book)</t>
  </si>
  <si>
    <t>No categorization judgments; flags-and-queues model — ambiguity goes to Sarah</t>
  </si>
  <si>
    <t>Refer to partner CPAs — which is also the referral flywheel: CPAs reciprocate with bookkeeping referrals</t>
  </si>
  <si>
    <t>Target Client Profile &amp; Niches</t>
  </si>
  <si>
    <t>+cleanup</t>
  </si>
  <si>
    <t>~$130,000-$140,000</t>
  </si>
  <si>
    <t>Not planned</t>
  </si>
  <si>
    <t>Billing &amp; payment collection (under Sarah's direction)</t>
  </si>
  <si>
    <t>Year 2-3</t>
  </si>
  <si>
    <t>With payroll ladder + leverage</t>
  </si>
  <si>
    <t>Segment</t>
  </si>
  <si>
    <t>20-26</t>
  </si>
  <si>
    <t>Payroll administration</t>
  </si>
  <si>
    <t>Administers ACH autodraft enrollment at engagement signing; runs the monthly draft on the 1st; sends receipts and statements to clients; handles failed-payment retry and service-pause per firm policy; tracks cleanup-project deposits. The autodraft system means no one ever chases an invoice.</t>
  </si>
  <si>
    <t>$160,000-$200,000+</t>
  </si>
  <si>
    <t>Why chosen</t>
  </si>
  <si>
    <t>Collects on Sarah's signed engagements only; never touches client tax/payroll funds</t>
  </si>
  <si>
    <t>Risk &amp; mitigation</t>
  </si>
  <si>
    <t>Two independent tripwires: (1) IRS Trust Fund Recovery Penalty makes anyone with payment authority PERSONALLY liable for unpaid withholding; (2) Texas taxes payroll processing as data processing (6.25%+ on 80% of the charge)</t>
  </si>
  <si>
    <t>Scaling decision</t>
  </si>
  <si>
    <t>Roster rule</t>
  </si>
  <si>
    <t>Future hire #1 (Year 2-3)</t>
  </si>
  <si>
    <t>Year 3+</t>
  </si>
  <si>
    <t>Client runs Gusto/ADP; firm books the entries correctly (the payroll journal-entry skill stays in-house)</t>
  </si>
  <si>
    <t>Home-services contractors (primary)</t>
  </si>
  <si>
    <t>Contract preparer</t>
  </si>
  <si>
    <t>Two honest structural facts this plan is built around. First: early pricing lands at $350-$450 per client, not the $500-$650 the mature book earns — blended $650 is a month-12+ outcome that arrives with testimonials and niche proof, and the model (Tab 7) prices the ramp, not the destination. Second: a solo bookkeeper's delivery ceiling is roughly $117,000 of annual recurring revenue regardless of pricing tier. It is set by hours, not by price: ~110 working hours per month, less roughly 30% that any owner-operator spends selling, learning, and administering, leaves ~77 deliverable hours — about 15 mature clients at 5 hours each, and only about 8 while every client is still new. Price changes how many clients are needed to reach the ceiling, not the ceiling. Growth beyond it comes from three costed levers: the service ladder (payroll administration, sales tax, controller-level review), delegated preparation labor under Sarah's review, and niche specialization (niche-focused firms earn 51% higher revenue per client, AICPA CAS Benchmark).</t>
  </si>
  <si>
    <t>High pain (job costing, progress billing, 1099 subs), high willingness to outsource, low competition for specialization, high ticket sizes</t>
  </si>
  <si>
    <t>Year 2+, priced with sales tax collected, never with payment authority</t>
  </si>
  <si>
    <t>Transaction categorization and reconciliation prep under Sarah's review, added when client count exceeds ~12-14 (the solo capacity inflection).</t>
  </si>
  <si>
    <t>Housing-cycle sensitivity; mitigated by monthly-retainer stickiness and diversified trades</t>
  </si>
  <si>
    <t>Why Now</t>
  </si>
  <si>
    <t>Target 40-50% of roster</t>
  </si>
  <si>
    <t>Work-paper preparer only; Sarah reviews and closes</t>
  </si>
  <si>
    <t>A/P &amp; A/R management</t>
  </si>
  <si>
    <t>Professional services (secondary)</t>
  </si>
  <si>
    <t>Clean books, low transaction volume, stable, high retention — the capacity-friendly ballast of the roster</t>
  </si>
  <si>
    <t>Same Texas data-processing tax exposure; also the highest scope-creep service</t>
  </si>
  <si>
    <t>Labor shortage</t>
  </si>
  <si>
    <t>Why This Team</t>
  </si>
  <si>
    <t>Lower fees per client; acceptable because hours are also lower</t>
  </si>
  <si>
    <t>Accounting graduates down 6.6% YoY; CPA firms shedding small clients and referring bookkeeping out (AICPA 2025 Trends).</t>
  </si>
  <si>
    <t>Books-only engagements; aging reviewed, never worked</t>
  </si>
  <si>
    <t>Target 25-35%</t>
  </si>
  <si>
    <t>Year 2+ decision</t>
  </si>
  <si>
    <t>Restaurants (opportunistic only)</t>
  </si>
  <si>
    <t>Incumbent retreat</t>
  </si>
  <si>
    <t>Acute pain (POS reconciliation, tips, vendors) and underserved</t>
  </si>
  <si>
    <t>Website maintenance services</t>
  </si>
  <si>
    <t>Intuit is retiring QuickBooks Live effective July 29, 2026 — two days after this plan was written, so this is an announced change taking effect, not a completed one. Intuit stated the service damaged relationships with its accountant channel. Intuit also cut 17% of its workforce (SEC 8-K, May 20, 2026) while pivoting to AI. Verify the retirement completed as announced before relying on it in a sales conversation.</t>
  </si>
  <si>
    <t>~49% close within 5 years — client mortality is churn no service quality prevents</t>
  </si>
  <si>
    <t>Sarah: honors MBA (finance and analysis training that maps to the review-and-advisory ladder where margins are highest), organized and detail-oriented, credible to the exact audience that distrusts anonymous providers. Brad: shipped production software solo (a full accuracy-gated web application in ~6 working days); brings automation and web-marketing capability most solo bookkeeping practices lack, which industry benchmarks say is the difference between carrying 14 and 24 clients at the same quality. The pairing covers the two failure modes of new practices: technical operations without judgment, and judgment without operations. The honest accounting of capacity: this is 1.0 production FTE (Sarah), not 1.5 — Brad's hours build systems and pipeline, they do not close books. All capacity math in this plan is computed on 1.0 production FTE.</t>
  </si>
  <si>
    <t>CAPPED at ~25% of roster</t>
  </si>
  <si>
    <t>Out of scope by owner decision</t>
  </si>
  <si>
    <t>Screening rules (all segments)</t>
  </si>
  <si>
    <t>Tech-first failures</t>
  </si>
  <si>
    <t>Brad builds the firm's own web presence only</t>
  </si>
  <si>
    <t>Certification &amp; Credential Timeline (Sarah)</t>
  </si>
  <si>
    <t>Business 2+ years old preferred; declines: brand-new businesses (price-sensitive, high mortality), clients refusing ACH autodraft, clients refusing the document portal</t>
  </si>
  <si>
    <t>Bench: $100M+ raised, bankruptcy with $65.4M liabilities. Botkeeper: ~$90M raised, shut Feb 2026. Cheap-at-scale human bookkeeping is demonstrated to be structurally unprofitable.</t>
  </si>
  <si>
    <t>Bad-fit clients are the top capacity killer in practitioner literature</t>
  </si>
  <si>
    <t>Scorecard applied before every proposal</t>
  </si>
  <si>
    <t>AI: Threat Assessment (the question every reviewer will ask)</t>
  </si>
  <si>
    <t>CFO/controller advisory</t>
  </si>
  <si>
    <t>AI as tailwind</t>
  </si>
  <si>
    <t>Step</t>
  </si>
  <si>
    <t>Premature until the book matures; sold before capability = reputation risk</t>
  </si>
  <si>
    <t>Current AI drafts categorization for human review; it compresses hours per client, which raises a small firm's capacity. Stanford GSB research: AI-using accountants close 7.5 days faster and serve more clients; the judgment and communication work clients pay for remains human.</t>
  </si>
  <si>
    <t>Monthly summary notes plant the seed; formalize later at $2,000+/mo tier</t>
  </si>
  <si>
    <t>When</t>
  </si>
  <si>
    <t>The best long-run evidence is Autor &amp; Thompson (NBER w33941, 2025): from 1980-2018, automation cut bookkeeping employment by one-third while raising real wages nearly 40% — automation strips the easy tasks, and what remains requires more expertise and pays better. Stanford GSB task-level research (277 accountants, 79 firms, 2025) finds AI automates categorization, data entry, and reconciliation prep while judgment, quality assurance, communication, and advisory survive — AI users close 7.5 days faster and serve more clients. This plan is built for that world: Brad automates the shrinking layer inside the firm (bank rules, pipelines, portal) so Sarah's hours concentrate in the surviving layer (review, close, advisory). AI is margin expansion for a two-person firm and margin destruction for bodies-in-seats firms. The residual risk — a "done-for-you" Intuit AI product good enough to skip bookkeepers entirely — is monitored in the risk register (Tab 10) with a named tripwire.</t>
  </si>
  <si>
    <t>Year 3+ (the natural MBA endgame)</t>
  </si>
  <si>
    <t>Cost</t>
  </si>
  <si>
    <t>Source: SBA 2025 metro profiles; BLS OEWS May 2025 + Employment Projections 2024-34 (API pulls); NBER w33941 (Autor &amp; Thompson); Stanford GSB (Choi &amp; Xie, June 2025); Intuit SEC 8-K 5/20/2026; LendingTree failure-rate analysis of BLS data; Owner.com restaurant closure data; published pricing pages of six DFW firms + three national providers. Full citations Tab 14.</t>
  </si>
  <si>
    <t>Household timing</t>
  </si>
  <si>
    <t>Sarah's MBA completes within months; the LLC, bank account, and technical infrastructure already exist; certification is free and takes weeks.</t>
  </si>
  <si>
    <t>Note</t>
  </si>
  <si>
    <t>Texas Sales Tax Treatment (verified against Comptroller guidance)</t>
  </si>
  <si>
    <t>Skills runway: AccountingCoach fundamentals + QBOA practice file</t>
  </si>
  <si>
    <t>The Ask of This Document</t>
  </si>
  <si>
    <t>Weeks 1-6 (parallel)</t>
  </si>
  <si>
    <t>$0</t>
  </si>
  <si>
    <t>Free QuickBooks Online Accountant signup includes a persistent full-featured "Your Books" file — a real practice sandbox. Drill the close checklist; deliberately wreck and clean a practice file before touching client books.</t>
  </si>
  <si>
    <t>QuickBooks Online Level 1 Certification (ProAdvisor)</t>
  </si>
  <si>
    <t>Taxable?</t>
  </si>
  <si>
    <t>This plan is presented for stress-testing, not applause. Every figure is cited (Tab 14); every assumption in the financial model (Tab 7) is an editable input; the known weaknesses are stated in Tab 10 and the hardest anticipated questions are pre-answered in Tab 13, including the ones that argue against proceeding. Decision requested: proceed / modify / decline, with Sarah's certification start date as the first milestone if proceeding, and the 90-day validation sprint (Tab 5) as the first kill-or-continue gate.</t>
  </si>
  <si>
    <t>Weeks 1-3</t>
  </si>
  <si>
    <t>Source: All figures cross-referenced in Tab 14 (Sources). Key: SBA 2025 metro profiles; AICPA 2025 MAP Survey &amp; 2024 CAS Benchmark (n=206); Ignition 2025/26 Pricing Benchmark (n=219); BLS OEWS May 2025 (pulled via API) &amp; Employment Projections 2024-34; Intuit SEC 8-K 5/20/2026; six DFW firm pricing pages.</t>
  </si>
  <si>
    <t>Basis</t>
  </si>
  <si>
    <t>Plan handling</t>
  </si>
  <si>
    <t>Via coursework, not test-out: embedded exams have unlimited attempts and earn CPE. Publishes Find-a-ProAdvisor directory profile immediately. Independent audit of 223 live job postings: ProAdvisor is the only bookkeeping credential employers or clients ever name.</t>
  </si>
  <si>
    <t>Xero Advisor Level 1</t>
  </si>
  <si>
    <t>Bookkeeping, reconciliation, financial statements</t>
  </si>
  <si>
    <t>Week 3 (~2 hours)</t>
  </si>
  <si>
    <t>NO</t>
  </si>
  <si>
    <t>Cheap hedge against Intuit platform risk; US market is ~40-50:1 QuickBooks by revenue, so stop at Level 1. Note: Xero certification expires every 12 months.</t>
  </si>
  <si>
    <t>Professional service, not enumerated as taxable</t>
  </si>
  <si>
    <t>Core offering — clean</t>
  </si>
  <si>
    <t>E&amp;O + cyber insurance bound</t>
  </si>
  <si>
    <t>Before client #1</t>
  </si>
  <si>
    <t>Payroll processing, A/P, A/R services</t>
  </si>
  <si>
    <t>~$1,000-1,400/yr</t>
  </si>
  <si>
    <t>YES</t>
  </si>
  <si>
    <t>Claims-made retroactive-date logic makes early binding permanent protection.</t>
  </si>
  <si>
    <t>Taxable "data processing" (6.25%+ local, on 80% of charge); Comptroller updated the data-processing rule in 2025</t>
  </si>
  <si>
    <t>QuickBooks Online Level 2</t>
  </si>
  <si>
    <t>Excluded at launch (see above)</t>
  </si>
  <si>
    <t>Day ~90+</t>
  </si>
  <si>
    <t>Mixed contracts</t>
  </si>
  <si>
    <t>200 ProAdvisor points (largest single non-client point source). Intuit recommends the 90-day gap.</t>
  </si>
  <si>
    <t>Depends</t>
  </si>
  <si>
    <t>WOSB certification (federal)</t>
  </si>
  <si>
    <t>5% incidental rule: a taxable component over 5% of the contract can taint the invoice</t>
  </si>
  <si>
    <t>Months 2-4</t>
  </si>
  <si>
    <t>Services invoiced as separate line items, always</t>
  </si>
  <si>
    <t>Free via MySBA, ~90 days. See Tab 11 — including the honest finding that Texas ended its women/minority HUB program in Dec 2025, and what WOSB does and does not deliver in this NAICS code.</t>
  </si>
  <si>
    <t>Monitored item</t>
  </si>
  <si>
    <t>AIPB Certified Bookkeeper</t>
  </si>
  <si>
    <t>—</t>
  </si>
  <si>
    <t>Year 2-3, only if a prospect segment demands it</t>
  </si>
  <si>
    <t>~$314 (workbooks) to $1,495 (full course)</t>
  </si>
  <si>
    <t>Heavily automated bookkeeping arguably drifts toward the taxable data-processing category as automation deepens</t>
  </si>
  <si>
    <t>Requires 2 years / 3,000 hours of experience — a maturity credential. Market-value audit found zero employer or client demand for it (0 mentions in 223 postings); buy the workbooks as training material, defer the exam decision.</t>
  </si>
  <si>
    <t>Annual check with the CPA; flagged in risk register</t>
  </si>
  <si>
    <t>ANNUAL: ProAdvisor recertification</t>
  </si>
  <si>
    <t>Every June (hard deadline June 30)</t>
  </si>
  <si>
    <t>How Money Is Collected: ACH Autodraft Policy (zero accounts receivable by design)</t>
  </si>
  <si>
    <t>Missing it as Level 2 revokes both levels, unpublishes the directory profile, and forfeits 300 points. Permanent June 1 calendar entry.</t>
  </si>
  <si>
    <t>Dec 2026: platform migration check</t>
  </si>
  <si>
    <t>December 2026</t>
  </si>
  <si>
    <t>QBOA is discontinued Dec 31, 2026. Confirm the firm is on Intuit Accountant Suite CORE (free), not the Accelerate beta that begins billing $149/mo on Jan 20, 2027.</t>
  </si>
  <si>
    <t>Payment terms are not negotiated per-client; they are the firm's standing policy, administered by Brad. At engagement signing, every client signs (1) the engagement letter and (2) an ACH debit authorization. Retainers draft automatically on the 1st of each month, in advance. Failed drafts retry on day 3; unresolved by day 10, service pauses automatically and the client is notified — work never continues on credit. Cleanup projects: 50% deposit drafts at signing, balance drafts on delivery. Receipts are emailed automatically after every draft. The result: the firm carries zero accounts receivable, no one ever makes a collections call, and revenue is known on the 1st of every month.</t>
  </si>
  <si>
    <t>Source: TSBPA enforcement FAQ (title restrictions); 13 CFR 127 (WOSB ownership/control); Texas Comptroller franchise tax/PIR; Intuit ProAdvisor FAQ (updated 7/14/2026); LinkedIn postings audit n=223 (original data, July 2026); Insureon bookkeeper premium medians; Xero FY26 Annual Report. Full citations Tab 14.</t>
  </si>
  <si>
    <t>Payment rail</t>
  </si>
  <si>
    <t>Fit</t>
  </si>
  <si>
    <t>Verdict</t>
  </si>
  <si>
    <t>QuickBooks Payments (ACH inside QBO)</t>
  </si>
  <si>
    <t>~1% per ACH transaction (≈$4.50 on a $450 draft); rates confirmed at enrollment</t>
  </si>
  <si>
    <t>Native to the stack; recurring sales receipts auto-draft and auto-reconcile; ProAdvisor accounts get preferred processing rates</t>
  </si>
  <si>
    <t>RECOMMENDED at launch</t>
  </si>
  <si>
    <t>Melio</t>
  </si>
  <si>
    <t>Free standard ACH</t>
  </si>
  <si>
    <t>Free, but weaker recurring-authorization workflow; adds a vendor to the stack</t>
  </si>
  <si>
    <t>Backup / fee-sensitive fallback</t>
  </si>
  <si>
    <t>Ignition</t>
  </si>
  <si>
    <t>From ~$39-99/mo platform fee + processing</t>
  </si>
  <si>
    <t>Proposals + engagement letters + auto-payment in one flow; the industry standard at scale</t>
  </si>
  <si>
    <t>Adopt at ~10+ clients when proposal volume justifies it</t>
  </si>
  <si>
    <t>Relay (business banking)</t>
  </si>
  <si>
    <t>Free ACH transfers</t>
  </si>
  <si>
    <t>Good operating bank; ACH collection requires more manual setup</t>
  </si>
  <si>
    <t>Bank choice, not the collection rail</t>
  </si>
  <si>
    <t>Pricing Honesty: the Ramp</t>
  </si>
  <si>
    <t>Red-team finding adopted into the model: the first ten clients will close at $350-$450, not $500-$650, because a firm without testimonials anchors low. Blended $650 is a month-12+ outcome earned through niche proof (job-costing and POS demo workflows are built BEFORE the first sales conversation), reviews, and annual price steps written into the engagement letter (fees adjust each January with 30 days' notice). Tab 7 models the ramp explicitly; no revenue line in this plan assumes mature pricing on day one.</t>
  </si>
  <si>
    <t>Source: Texas Comptroller Pub. 94-127 + 2025 data-processing rule update (Grant Thornton alert); IRS TFRP guidance; Intuit QuickBooks Payments published rates; Ignition/Melio published pricing; Ignition 2025/26 Pricing Benchmark (n=219); Jetpack Workflow hours-per-client benchmarks; practitioner cleanup benchmarks (Winnie Jayne 12-step, 200+ files). Full citations Tab 14.</t>
  </si>
  <si>
    <t>OPERATIONS</t>
  </si>
  <si>
    <t>MARKETING &amp; SALES</t>
  </si>
  <si>
    <t>The monthly machine: document pipeline, close workflow, software stack, and guardrails</t>
  </si>
  <si>
    <t>Channels ranked by evidence, customer economics, and the 90-day validation sprint</t>
  </si>
  <si>
    <t>Monthly Cadence (per client)</t>
  </si>
  <si>
    <t>Acquisition Channels, Ranked (57% of accounting clients come from referrals; ~3% from ads)</t>
  </si>
  <si>
    <t>Channel</t>
  </si>
  <si>
    <t>Days</t>
  </si>
  <si>
    <t>Est. CAC</t>
  </si>
  <si>
    <t>How it works here</t>
  </si>
  <si>
    <t>Rank &amp; rationale</t>
  </si>
  <si>
    <t>Warm network + first clients</t>
  </si>
  <si>
    <t>Owner</t>
  </si>
  <si>
    <t>~$0</t>
  </si>
  <si>
    <t>First 2-3 sets of books at reduced fee for known businesses — priced as training, reviewed by a CPA, harvested for testimonials</t>
  </si>
  <si>
    <t>1st</t>
  </si>
  <si>
    <t>#1 — cheapest proof; every practitioner path starts here</t>
  </si>
  <si>
    <t>Revenue day</t>
  </si>
  <si>
    <t>CPA referral partnerships</t>
  </si>
  <si>
    <t>~$0-100 (lunches)</t>
  </si>
  <si>
    <t>ACH autodraft runs for every client; receipts auto-emailed; failed drafts flagged for day-3 retry</t>
  </si>
  <si>
    <t>The structural advantage: this firm sells NO tax prep, so CPAs shedding bookkeeping work refer without competitive fear, and receive clean year-end files back. Approach window: May-June, right after tax season pain peaks. Target: 5 standing relationships.</t>
  </si>
  <si>
    <t>Brad (system)</t>
  </si>
  <si>
    <t>#2 — the compounding channel; referrals close at high rates and price higher</t>
  </si>
  <si>
    <t>Google Business Profile + local SEO (Brad)</t>
  </si>
  <si>
    <t>1st-5th</t>
  </si>
  <si>
    <t>Time only</t>
  </si>
  <si>
    <t>Map-pack presence, review engine (request after each clean close), service pages per niche and suburb. Brad has shipped this stack before.</t>
  </si>
  <si>
    <t>Document intake</t>
  </si>
  <si>
    <t>#3 — slow to rank (months), then durable and free</t>
  </si>
  <si>
    <t>Find-a-ProAdvisor directory</t>
  </si>
  <si>
    <t>Portal auto-requests statements/receipts; automated reminders day 1, 3, 5; Brad personally chases stragglers — Sarah never chases documents</t>
  </si>
  <si>
    <t>Brad</t>
  </si>
  <si>
    <t>Free listing publishes with Level 1 certification. Practitioner reports on lead volume are genuinely mixed (some get 6-7 leads, some zero).</t>
  </si>
  <si>
    <t>#4 — treat as upside, never as the plan</t>
  </si>
  <si>
    <t>5th-10th</t>
  </si>
  <si>
    <t>New-filing drip list (Brad)</t>
  </si>
  <si>
    <t>Preparation</t>
  </si>
  <si>
    <t>Time + ~$20/mo tooling</t>
  </si>
  <si>
    <t>Bank feeds categorized against Sarah's rules; exceptions queued for her review; reconciliations prepped</t>
  </si>
  <si>
    <t>Scrape monthly DFW filings; drip sequence timed to month 10-14 after formation, when the shoebox and first tax panic arrive. Expected conversion under 1%.</t>
  </si>
  <si>
    <t>FINANCIAL MODEL — INTERACTIVE</t>
  </si>
  <si>
    <t>#5 — cheap automatable experiment; matures in year 2</t>
  </si>
  <si>
    <t>Brad preps mechanics, Sarah judges</t>
  </si>
  <si>
    <t>Paid ads</t>
  </si>
  <si>
    <t>10th-15th</t>
  </si>
  <si>
    <t>$300-1,500/client (industry)</t>
  </si>
  <si>
    <t>Only ~3% of accounting clients arrive via ads; commodity keywords are bid up by national providers</t>
  </si>
  <si>
    <t>Close</t>
  </si>
  <si>
    <t>DEPRIORITIZED — revisit only with a proven landing funnel</t>
  </si>
  <si>
    <t>Sarah: verify beginning balances FIRST, reconcile every account, adjusting entries, balance-sheet review line-by-line (every line provable to an external document), trial-balance variance scan vs prior period</t>
  </si>
  <si>
    <t>Customer Economics (honest-retention version)</t>
  </si>
  <si>
    <t>Sarah</t>
  </si>
  <si>
    <t>15th</t>
  </si>
  <si>
    <t>Yellow cells are inputs: change them and every calculation updates. Gray cells are live formulas.</t>
  </si>
  <si>
    <t>Deliver &amp; lock</t>
  </si>
  <si>
    <t>Inputs (edit the yellow cells)</t>
  </si>
  <si>
    <t>P&amp;L + balance sheet + plain-English summary note delivered via portal; closing date set with password</t>
  </si>
  <si>
    <t>Sarah delivers, Brad archives</t>
  </si>
  <si>
    <t>Average revenue per client</t>
  </si>
  <si>
    <t>$400-450/mo early → $650 matured</t>
  </si>
  <si>
    <t>Client didn't send docs?</t>
  </si>
  <si>
    <t>Input</t>
  </si>
  <si>
    <t>Pricing ramp, Tab 4</t>
  </si>
  <si>
    <t>Blended across tiers</t>
  </si>
  <si>
    <t>Standing policy</t>
  </si>
  <si>
    <t>Retention assumption, years 1-2</t>
  </si>
  <si>
    <t>75-85% annual</t>
  </si>
  <si>
    <t>Unit</t>
  </si>
  <si>
    <t>Small accounting firms typically retain 60-70%; well-run firms 90-96%. New firms do not earn the top band immediately.</t>
  </si>
  <si>
    <t>95% is a year-3+ goal, not an assumption</t>
  </si>
  <si>
    <t>Guidance (why this default)</t>
  </si>
  <si>
    <t>Close proceeds on time; missing items parked in a clearly-labeled holding account and listed in the summary note. Engagement letter states this. Chronic offenders hit the scorecard at renewal.</t>
  </si>
  <si>
    <t>Client lifetime at 80% retention</t>
  </si>
  <si>
    <t>~4.5 years average</t>
  </si>
  <si>
    <t>Policy, not negotiation</t>
  </si>
  <si>
    <t>Geometric mean of the honest band</t>
  </si>
  <si>
    <t>Doubles if retention reaches 90%+</t>
  </si>
  <si>
    <t>Lifetime value (LTV)</t>
  </si>
  <si>
    <t>Non-Negotiable Guardrails (the firm's own checks and balances)</t>
  </si>
  <si>
    <t>$15,000-$20,000</t>
  </si>
  <si>
    <t>Average monthly fee — early book</t>
  </si>
  <si>
    <t>$450-650/mo × honest lifetime, net of the ramp</t>
  </si>
  <si>
    <t>The $30k+ LTV seen in industry content assumes established-firm retention — rejected</t>
  </si>
  <si>
    <t>CAC, blended</t>
  </si>
  <si>
    <t>Under $150</t>
  </si>
  <si>
    <t>Guardrail</t>
  </si>
  <si>
    <t>Referral-dominant channel mix above</t>
  </si>
  <si>
    <t>Rule</t>
  </si>
  <si>
    <t>LTV:CAC exceeds 100:1 — acquisition is constrained by time and trust, not money</t>
  </si>
  <si>
    <t>$/client/mo</t>
  </si>
  <si>
    <t>Why</t>
  </si>
  <si>
    <t>Payback period</t>
  </si>
  <si>
    <t>Red-team finding: first ten clients close at $350-450. Default $400.</t>
  </si>
  <si>
    <t>First month's draft</t>
  </si>
  <si>
    <t>Enforced by</t>
  </si>
  <si>
    <t>Autodraft on the 1st, in advance</t>
  </si>
  <si>
    <t>No financing gap exists in this model</t>
  </si>
  <si>
    <t>Trust Fund Recovery Penalty</t>
  </si>
  <si>
    <t>Average monthly fee — mature book</t>
  </si>
  <si>
    <t>No one at the firm EVER holds payment authority over a client's payroll or tax accounts</t>
  </si>
  <si>
    <t>Sales Process (Sarah closes; Brad fills the calendar)</t>
  </si>
  <si>
    <t>IRS holds "responsible persons" personally liable for unpaid withholding — unlimited, non-dischargeable exposure</t>
  </si>
  <si>
    <t>Engagement letter clause + service exclusions (Tab 4)</t>
  </si>
  <si>
    <t>No force-balancing</t>
  </si>
  <si>
    <t>Stage</t>
  </si>
  <si>
    <t>A reconciliation difference is never plugged to an expense or "adjustment" — it is diagnosed (beginning balance, discrepancy report, audit log) or escalated</t>
  </si>
  <si>
    <t>Month-12+ blended rate after niche proof and annual price steps.</t>
  </si>
  <si>
    <t>Plugs bury errors permanently and are the cardinal sin of the trade</t>
  </si>
  <si>
    <t>What happens</t>
  </si>
  <si>
    <t>Close checklist; Sarah's sole domain</t>
  </si>
  <si>
    <t>PROJECTIONS — YEAR 1 MONTHLY, YEARS 2-3 SCENARIOS</t>
  </si>
  <si>
    <t>Conversion tool</t>
  </si>
  <si>
    <t>Period locking</t>
  </si>
  <si>
    <t>Hours per client — first 6 months</t>
  </si>
  <si>
    <t>Lead → discovery call</t>
  </si>
  <si>
    <t>Closing date + password after every close; changes to closed periods go through a documented reopen</t>
  </si>
  <si>
    <t>Brad routes, Sarah takes the call</t>
  </si>
  <si>
    <t>Prior-period drift is the #1 cause of broken reconciliations</t>
  </si>
  <si>
    <t>Close checklist step 8</t>
  </si>
  <si>
    <t>20-minute call: business age, entity type, account count, state of the books, screening scorecard applied</t>
  </si>
  <si>
    <t>hrs/mo</t>
  </si>
  <si>
    <t>Separation of duties</t>
  </si>
  <si>
    <t>Calendar link on site; scorecard declines bad fits politely</t>
  </si>
  <si>
    <t>Benchmark 5-6 for experienced firms; new-firm reality is 8-10 while learning each business.</t>
  </si>
  <si>
    <t>Brad moves documents and money mechanics; Sarah makes every judgment; neither crosses over</t>
  </si>
  <si>
    <t>Discovery → diagnostic</t>
  </si>
  <si>
    <t>Clean WOSB control story + clean E&amp;O story + no single point of failure in either lane</t>
  </si>
  <si>
    <t>Role table (Tab 2)</t>
  </si>
  <si>
    <t>Paid diagnostic ($300-500, upfront) on the existing file — converts "how much?" into evidence, filters non-serious prospects, and is credited against cleanup</t>
  </si>
  <si>
    <t>Data security</t>
  </si>
  <si>
    <t>Hours per client — steady state</t>
  </si>
  <si>
    <t>The diagnostic IS the sales demo</t>
  </si>
  <si>
    <t>Yellow cells (new clients, avg fee, cleanup $) are editable; everything else recalculates.</t>
  </si>
  <si>
    <t>Diagnostic → proposal</t>
  </si>
  <si>
    <t>MFA on everything; client documents through the portal only (never email); encrypted archive; 7-year retention; cyber policy active</t>
  </si>
  <si>
    <t>Earned, not assumed: arrives as bank rules and pipelines absorb the mechanical layer.</t>
  </si>
  <si>
    <t>The firm holds bank credentials and PII from day one</t>
  </si>
  <si>
    <t>Onboarding SOP + annual security review</t>
  </si>
  <si>
    <t>Written findings + fixed-fee proposal: cleanup quote + monthly tier. Niche demo workflows (job-costing, POS reconciliation) shown here.</t>
  </si>
  <si>
    <t>Client file hygiene</t>
  </si>
  <si>
    <t>Fixed fees remove hourly-anxiety objections</t>
  </si>
  <si>
    <t>Opening Balance Equity must be zero after setup; Undeposited Funds swept in every close; Add-vs-Match verified, never auto-accepted</t>
  </si>
  <si>
    <t>Working hours per month (1.0 production FTE)</t>
  </si>
  <si>
    <t>The three most common silent corruptions in QuickBooks files</t>
  </si>
  <si>
    <t>Proposal → engagement</t>
  </si>
  <si>
    <t>Model Settings (LINKED to Tab 7 — edit them there, not here)</t>
  </si>
  <si>
    <t>Close checklist steps 3-5</t>
  </si>
  <si>
    <t>Sarah signs; Brad onboards</t>
  </si>
  <si>
    <t>hrs</t>
  </si>
  <si>
    <t>Software Stack &amp; Monthly Cost</t>
  </si>
  <si>
    <t>Engagement letter + ACH authorization signed in one sitting; deposit drafts immediately; onboarding checklist starts</t>
  </si>
  <si>
    <t>Sarah only. Brad's hours build systems and pipeline; they do not close books.</t>
  </si>
  <si>
    <t>No engagement without autodraft — standing policy</t>
  </si>
  <si>
    <t>The 90-Day Validation Sprint (kill criteria, set before feelings are involved)</t>
  </si>
  <si>
    <t>Non-delivery reserve (selling, learning, admin)</t>
  </si>
  <si>
    <t>Tool</t>
  </si>
  <si>
    <t>Monthly cost</t>
  </si>
  <si>
    <t>Purpose</t>
  </si>
  <si>
    <t>The single least-validated assumption in this plan is not delivery — it is whether Sarah wants to do, and converts at, relationship sales. Rather than argue about it, the plan tests it cheaply: within 90 days of certification, complete 30 outreach conversations (CPA lunches, trade associations, warm network), issue 10 proposals, and sign 3 clients. Hit it: proceed to the Year-1 plan. Miss it badly: the fallback is subcontract/white-label production for established firms (almost no selling, lower margin, $30-50/hr domestic benchmark) while the decision gates in Tab 12 govern next steps. Either way, the household learns the truth for under $700.</t>
  </si>
  <si>
    <t>Fixed costs $/mo</t>
  </si>
  <si>
    <t>%</t>
  </si>
  <si>
    <t>Intuit accountant platform (QBOA → Core)</t>
  </si>
  <si>
    <t>Source: Referral/ads channel mix: industry surveys cited in Tab 14; CPA capacity shortage: AICPA 2025 Trends (graduates -6.6% YoY); retention benchmarks: SmartFirm &amp; Agiled compilations; white-label rates: Remote Books Online &amp; Maxim Liberty published pricing; ProAdvisor directory lead reports: practitioner threads (anecdotal, labeled). Full citations Tab 14.</t>
  </si>
  <si>
    <t>Firm hub; includes free QBO Advanced + payroll for the firm's own books</t>
  </si>
  <si>
    <t>The hours an owner-operator cannot bill: prospecting, CPA relationships, certification, firm admin. Industry read: year-one delivery capacity is 60-80% of the theoretical ceiling. Set to 0% only for a mature firm with a full pipeline and no learning curve.</t>
  </si>
  <si>
    <t>Confirm Core (free) tier at Dec 2026 migration — calendar entry exists</t>
  </si>
  <si>
    <t>Client QBO subscriptions</t>
  </si>
  <si>
    <t>Firm-billed wholesale</t>
  </si>
  <si>
    <t>ProAdvisor Preferred Pricing: permanent 30% discount; billed to firm, charged to client in the fixed fee</t>
  </si>
  <si>
    <t>Annual client retention (yrs 1-2)</t>
  </si>
  <si>
    <t>Blended margin ≈ +$20/client/mo — treated as a rebate, NOT load-bearing profit (Intuit repricing risk)</t>
  </si>
  <si>
    <t>Document portal + file system</t>
  </si>
  <si>
    <t>$0-20</t>
  </si>
  <si>
    <t>Client upload portal (Brad builds) + Dropbox Business structure</t>
  </si>
  <si>
    <t>Brad's build; the moat most solo firms lack</t>
  </si>
  <si>
    <t>Small firms typically retain 60-70%; well-run firms 90-96%. Honest new-firm band: 75-85%.</t>
  </si>
  <si>
    <t>QuickBooks Payments (ACH)</t>
  </si>
  <si>
    <t>~1% of drafted revenue</t>
  </si>
  <si>
    <t>The autodraft rail (Tab 4)</t>
  </si>
  <si>
    <t>Fixed cost — E&amp;O + cyber insurance</t>
  </si>
  <si>
    <t>Scales with revenue, ~$40-90/mo at 10-14 clients</t>
  </si>
  <si>
    <t>$/mo</t>
  </si>
  <si>
    <t>E&amp;O + cyber insurance</t>
  </si>
  <si>
    <t>~$1,000-1,400/yr bound before client #1 (claims-made retroactive date).</t>
  </si>
  <si>
    <t>~$85-120</t>
  </si>
  <si>
    <t>Before client #1; claims-made retro date</t>
  </si>
  <si>
    <t>Fixed cost — software &amp; tools</t>
  </si>
  <si>
    <t>The largest fixed cost</t>
  </si>
  <si>
    <t>Password manager, e-sign, scheduling, misc.</t>
  </si>
  <si>
    <t>~$20-50</t>
  </si>
  <si>
    <t>Net of ProAdvisor wholesale margin on client subscriptions (treated as rebate, not profit).</t>
  </si>
  <si>
    <t>1Password, e-signature free tiers → paid, calendar link</t>
  </si>
  <si>
    <t>Lean by design</t>
  </si>
  <si>
    <t>TOTAL FIXED STACK</t>
  </si>
  <si>
    <t>Fixed cost — misc (domain, phone, filings)</t>
  </si>
  <si>
    <t>≈ $105-190/mo net</t>
  </si>
  <si>
    <t>Full operating cost before labor</t>
  </si>
  <si>
    <t>ACH fee %</t>
  </si>
  <si>
    <t>Covered by the first client's retainer — the break-even fact in Tab 7</t>
  </si>
  <si>
    <t>Lean by design.</t>
  </si>
  <si>
    <t>Capacity &amp; Seasonality</t>
  </si>
  <si>
    <t>ACH processing fee</t>
  </si>
  <si>
    <t>Capacity math (1.0 production FTE): ~110 working hours/month, less a ~30% non-delivery reserve for selling, learning, and firm admin, leaves ~77 deliverable hours. New clients cost 8-10 hours/month for the first six months (learning the business, fixing setup) and settle toward ~5 at steady state as Brad's rules and pipelines absorb the mechanical layer — so the ceiling is ~8 clients while all are new and ~15 once the book matures. The plan hires a contract preparer at ~12-14 clients rather than degrading quality. January is the crunch: 1099s due Jan 31, year-end closes, and the Q1 cleanup-demand spike (also the year's best acquisition window). Standing policy: W-9s collected at onboarding all year; new-client onboarding freezes mid-January to mid-February; cleanup projects quoted in Q1 are scheduled, not rushed.</t>
  </si>
  <si>
    <t>KPI Dashboard (reviewed monthly against the decision gates in Tab 12)</t>
  </si>
  <si>
    <t>% of revenue</t>
  </si>
  <si>
    <t>QuickBooks Payments ACH ≈1%. Melio fallback is $0.</t>
  </si>
  <si>
    <t>KPI</t>
  </si>
  <si>
    <t>Target</t>
  </si>
  <si>
    <t>Why it is on the dashboard</t>
  </si>
  <si>
    <t>Average cleanup project</t>
  </si>
  <si>
    <t>MRR / client count</t>
  </si>
  <si>
    <t>$</t>
  </si>
  <si>
    <t>Gates: 3 clients by day 90; 8-12 by month 12</t>
  </si>
  <si>
    <t>The kill-or-continue metric</t>
  </si>
  <si>
    <t>Cleanup prices at 2-2.5x monthly rate per month of mess; 12-month cleanups run 40-60 hours.</t>
  </si>
  <si>
    <t>Hours per client</t>
  </si>
  <si>
    <t>≤9 in months 1-6, trending to 5</t>
  </si>
  <si>
    <t>What Falls Out (live formulas — recalculate when inputs change)</t>
  </si>
  <si>
    <t>The margin metric, and the same figures the Tab 7 model runs on (9 early / 5 steady). If it will not fall, pricing or screening is wrong.</t>
  </si>
  <si>
    <t>Close-by-day</t>
  </si>
  <si>
    <t>These two cells are live links to Tab 7, so changing an input there flows through this whole tab. Assumption: zero churn modeled inside Y1 (small-number effect); churn is priced into the Y2-3 net client counts below.</t>
  </si>
  <si>
    <t>100% of closes delivered by the 15th</t>
  </si>
  <si>
    <t>The service-quality promise clients actually notice</t>
  </si>
  <si>
    <t>Result</t>
  </si>
  <si>
    <t>Failed drafts</t>
  </si>
  <si>
    <t>0 outstanding past day 10</t>
  </si>
  <si>
    <t>AR stays zero by design or the policy is broken</t>
  </si>
  <si>
    <t>Year 1, Month by Month (launch = certification complete)</t>
  </si>
  <si>
    <t>How it is computed / what it means</t>
  </si>
  <si>
    <t>Pipeline conversations</t>
  </si>
  <si>
    <t>10/month during growth phases</t>
  </si>
  <si>
    <t>Leading indicator; revenue problems appear here 90 days early</t>
  </si>
  <si>
    <t>Review count (Google)</t>
  </si>
  <si>
    <t>+1 per month minimum</t>
  </si>
  <si>
    <t>The map-pack currency</t>
  </si>
  <si>
    <t>Total fixed costs</t>
  </si>
  <si>
    <t>Month</t>
  </si>
  <si>
    <t>Source: Close methodology: practitioner close/cleanup literature (Winnie Jayne 12-step; AccountingCoach adjusting entries; AccountingTools payroll entries); TFRP: IRS guidance; hours-per-client: Jetpack Workflow benchmark + red-team adjustment; ProAdvisor Preferred Pricing: Intuit published terms. Full citations Tab 14.</t>
  </si>
  <si>
    <t>New clients</t>
  </si>
  <si>
    <t>Total clients</t>
  </si>
  <si>
    <t>Avg fee $</t>
  </si>
  <si>
    <t>Recurring rev</t>
  </si>
  <si>
    <t>Cleanup rev</t>
  </si>
  <si>
    <t>Insurance + software + misc. The entire cost base before labor.</t>
  </si>
  <si>
    <t>Costs</t>
  </si>
  <si>
    <t>Net income</t>
  </si>
  <si>
    <t>BREAK-EVEN CLIENT COUNT (early pricing)</t>
  </si>
  <si>
    <t>M1</t>
  </si>
  <si>
    <t>clients</t>
  </si>
  <si>
    <t>Fixed costs ÷ net early fee, rounded up. The number the whole document was asked to produce: at defaults, the FIRST client covers every fixed cost.</t>
  </si>
  <si>
    <t>STARTUP CAPITAL &amp; DEPLOYMENT</t>
  </si>
  <si>
    <t>Deliverable hours per month (after reserve)</t>
  </si>
  <si>
    <t>What it costs to start, the launch sequence, and the honest solvency statement</t>
  </si>
  <si>
    <t>Startup Costs (entity, EIN, and bank already exist — $0 shown where already owned)</t>
  </si>
  <si>
    <t>Working hours less the non-delivery reserve. This — not the 110 — is what actually closes books.</t>
  </si>
  <si>
    <t>LLC / EIN / business bank</t>
  </si>
  <si>
    <t>CAPACITY CEILING — steady state</t>
  </si>
  <si>
    <t>The Relief Pros, LLC exists, compliant, and empty — no formation costs remain</t>
  </si>
  <si>
    <t>Done</t>
  </si>
  <si>
    <t>QuickBooks ProAdvisor certification</t>
  </si>
  <si>
    <t>Free program; free training; free QBO Advanced for the firm's own books</t>
  </si>
  <si>
    <t>Study materials</t>
  </si>
  <si>
    <t>$0-99</t>
  </si>
  <si>
    <t>Deliverable hours ÷ steady hours per client. Quality breaks past this without a hire. This is the number behind every "solo ceiling" claim in the plan.</t>
  </si>
  <si>
    <t>AccountingCoach free tier covers fundamentals; PRO upgrade $99/yr optional</t>
  </si>
  <si>
    <t>Weeks 1-6</t>
  </si>
  <si>
    <t>M2</t>
  </si>
  <si>
    <t>Capacity ceiling — first-6-months pace</t>
  </si>
  <si>
    <t>Platform hedge</t>
  </si>
  <si>
    <t>Week 3</t>
  </si>
  <si>
    <t>E&amp;O + cyber insurance (first months)</t>
  </si>
  <si>
    <t>~$200-300</t>
  </si>
  <si>
    <t>First premium payments; ~$1,000-1,400/yr total; bound BEFORE client #1</t>
  </si>
  <si>
    <t>Before first engagement</t>
  </si>
  <si>
    <t>Same ceiling at new-client hours — why onboarding is paced, not maximized. This is the binding constraint during the ramp.</t>
  </si>
  <si>
    <t>Domain + site + portal hosting</t>
  </si>
  <si>
    <t>~$50-100</t>
  </si>
  <si>
    <t>Brad builds on existing infrastructure and skills</t>
  </si>
  <si>
    <t>Weeks 2-6</t>
  </si>
  <si>
    <t>Solo ceiling ARR (mature pricing)</t>
  </si>
  <si>
    <t>Engagement letter template (attorney review)</t>
  </si>
  <si>
    <t>$0-250</t>
  </si>
  <si>
    <t>One-time review of scope/ACH/no-payment-authority clauses; templates exist</t>
  </si>
  <si>
    <t>Week 4-6</t>
  </si>
  <si>
    <t>Operating-agreement language check</t>
  </si>
  <si>
    <t>$0-150</t>
  </si>
  <si>
    <t>$/yr</t>
  </si>
  <si>
    <t>One-hour attorney confirmation that Sarah's 100% ownership and control language is WOSB-ready</t>
  </si>
  <si>
    <t>Before WOSB filing</t>
  </si>
  <si>
    <t>The honest solo revenue ceiling before hiring. Price moves clients-needed, not the ceiling.</t>
  </si>
  <si>
    <t>TOTAL CASH TO LAUNCH</t>
  </si>
  <si>
    <t>The complete number. No loan, no office, no employees, no inventory.</t>
  </si>
  <si>
    <t>Expected client lifetime</t>
  </si>
  <si>
    <t>Launch Sequence (first 90 days, two lanes running in parallel)</t>
  </si>
  <si>
    <t>M3</t>
  </si>
  <si>
    <t>Weeks</t>
  </si>
  <si>
    <t>Sarah (skills &amp; certification lane)</t>
  </si>
  <si>
    <t>years</t>
  </si>
  <si>
    <t>Brad (infrastructure lane)</t>
  </si>
  <si>
    <t>Geometric expectation at the retention input.</t>
  </si>
  <si>
    <t>Gate</t>
  </si>
  <si>
    <t>1-3</t>
  </si>
  <si>
    <t>AccountingCoach fundamentals; QBO Level 1 via coursework; practice file opened in QBOA "Your Books"</t>
  </si>
  <si>
    <t>Lifetime value (LTV, mature fee)</t>
  </si>
  <si>
    <t>Domain, site skeleton, Google Business Profile claimed, Dropbox/portal structure designed</t>
  </si>
  <si>
    <t>Level 1 passed; directory profile live</t>
  </si>
  <si>
    <t>4-6</t>
  </si>
  <si>
    <t>Close-checklist drills in the practice sandbox; deliberately wreck and clean a practice file (12-step order); Xero L1</t>
  </si>
  <si>
    <t>Portal live; ACH rail enrolled and tested with a $1 draft; engagement letter + ACH authorization finalized; review-request system built</t>
  </si>
  <si>
    <t>SWOT &amp; RISK REGISTER</t>
  </si>
  <si>
    <t>One full simulated close executed cleanly</t>
  </si>
  <si>
    <t>7-9</t>
  </si>
  <si>
    <t>First 2-3 warm-network books at reduced fee, CPA-reviewed; diagnostic template built; niche demo workflows (job costing, POS) built</t>
  </si>
  <si>
    <t>New-filing scraper running; outreach lists built; citation/directory profiles seeded</t>
  </si>
  <si>
    <t>The four-quadrant view, then every material risk with mitigation and tripwire</t>
  </si>
  <si>
    <t>First real close delivered; testimonial #1 requested</t>
  </si>
  <si>
    <t>Fee × lifetime, net of processing. At defaults ≈ $39k gross potential; the plan's conservative planning figure is $15-20k until retention is demonstrated.</t>
  </si>
  <si>
    <t>SWOT</t>
  </si>
  <si>
    <t>10-13</t>
  </si>
  <si>
    <t>Validation sprint in full swing: CPA lunches, trade associations, proposals</t>
  </si>
  <si>
    <t>SEO pages per niche/suburb; review engine running</t>
  </si>
  <si>
    <t>M4</t>
  </si>
  <si>
    <t>Monthly net at break-even +1 client</t>
  </si>
  <si>
    <t>Quadrant</t>
  </si>
  <si>
    <t>SPRINT GATE: 30 conversations / 10 proposals / 3 signed clients</t>
  </si>
  <si>
    <t>The Honest Solvency Statement (red-team finding adopted)</t>
  </si>
  <si>
    <t>Contents</t>
  </si>
  <si>
    <t>STRENGTHS</t>
  </si>
  <si>
    <t>The $700 startup figure is true for the entity but is not a solvency statement — the binding constraint is household runway, not business capitalization. This household's structural advantage: VA disability compensation is a fixed, inflation-adjusted, employment-independent income floor that most two-founder households do not have, so the household is never 100% dependent on the firm's ramp. The plan's standing rule: if household reserves plus fixed income cover less than 9-12 months of expenses at any point, Sarah's job search runs in parallel with the launch (the fallback market is liquid — Tab 12) rather than after it. Nothing about this plan requires burning savings to find out if it works; the 90-day sprint answers that for under $700.</t>
  </si>
  <si>
    <t>Optional Accelerators (not required; deploy only after the sprint gate passes)</t>
  </si>
  <si>
    <t>MBA-grade judgment on the delivery side paired with rare automation/web capability on the ops side; near-zero fixed costs; zero-AR cash model; existing clean entity; VA income floor under the household; no need to price against the collapsed low end</t>
  </si>
  <si>
    <t>What two early clients net after all fixed costs.</t>
  </si>
  <si>
    <t>WEAKNESSES</t>
  </si>
  <si>
    <t>M5</t>
  </si>
  <si>
    <t>What it buys</t>
  </si>
  <si>
    <t>Income by Client Count (live table)</t>
  </si>
  <si>
    <t>Zero bookkeeping track record (certification is a tool credential, not proof of competency); one production FTE — the firm IS Sarah; unproven sales appetite; no testimonials at launch; early pricing power is weak ($350-450)</t>
  </si>
  <si>
    <t>Ignition (proposals + payments)</t>
  </si>
  <si>
    <t>~$39-99/mo</t>
  </si>
  <si>
    <t>OPPORTUNITIES</t>
  </si>
  <si>
    <t>Professional proposal-to-payment flow</t>
  </si>
  <si>
    <t>At ~10 clients</t>
  </si>
  <si>
    <t>CPA firms shedding write-up work (labor shortage, graduates -6.6% YoY); low-end national providers dead or retreating; retiring solo bookkeepers = future book acquisitions; niche premium (+51% revenue/client, AICPA); Q1 cleanup season each year</t>
  </si>
  <si>
    <t>Revenue/mo (early $)</t>
  </si>
  <si>
    <t>AIPB workbook set</t>
  </si>
  <si>
    <t>Revenue/mo (mature $)</t>
  </si>
  <si>
    <t>$254-314</t>
  </si>
  <si>
    <t>Hours needed (steady)</t>
  </si>
  <si>
    <t>THREATS</t>
  </si>
  <si>
    <t>The trade's best self-study depth (adjusting entries, error correction, payroll entries)</t>
  </si>
  <si>
    <t>Capacity check</t>
  </si>
  <si>
    <t>Months 3-6, as training material</t>
  </si>
  <si>
    <t>M6</t>
  </si>
  <si>
    <t>Firm profit/mo (mature) — PRE-TAX, PRE-OWNER-PAY</t>
  </si>
  <si>
    <t>Community college Accounting I-II</t>
  </si>
  <si>
    <t>Intuit platform/pricing power and its AI "done-for-you" ambitions; client mortality in chosen niches; recession flattening (2009 CPA fees +0.6%, not growth); commoditization at the data-entry layer; a serious local competitor professionalizing first</t>
  </si>
  <si>
    <t>~$300-600</t>
  </si>
  <si>
    <t>The practitioner-consensus foundation if Sarah wants formal reps</t>
  </si>
  <si>
    <t>Optional, evenings</t>
  </si>
  <si>
    <t>Paid ads experiment</t>
  </si>
  <si>
    <t>$300-500 cap</t>
  </si>
  <si>
    <t>Risk Register (likelihood × impact, with named tripwires)</t>
  </si>
  <si>
    <t>One controlled test of a niche landing page</t>
  </si>
  <si>
    <t>Only after referral channels saturate</t>
  </si>
  <si>
    <t>Source: Insurance: Insureon/Next published medians for bookkeepers; ProAdvisor program terms: Intuit (verified free, July 2026 archive); study-path costs: AccountingCoach, AIPB bookstore, Dallas College published tuition. Full citations Tab 14.</t>
  </si>
  <si>
    <t>Risk</t>
  </si>
  <si>
    <t>M7</t>
  </si>
  <si>
    <t>L × I</t>
  </si>
  <si>
    <t>Mitigation</t>
  </si>
  <si>
    <t>Tripwire (act when...)</t>
  </si>
  <si>
    <t>Key person: Sarah out 6+ weeks</t>
  </si>
  <si>
    <t>Low × Severe</t>
  </si>
  <si>
    <t>Documented per-client close checklists from client #1 (also enables hiring and sale); Brad cross-trained on mechanics; own-occupation disability insurance once revenue justifies</t>
  </si>
  <si>
    <t>Any health signal → engage backup bookkeeper relationship (build one by month 6)</t>
  </si>
  <si>
    <t>M8</t>
  </si>
  <si>
    <t>Sales appetite / conversion unproven</t>
  </si>
  <si>
    <t>Med × High</t>
  </si>
  <si>
    <t>90-day validation sprint with numeric kill criteria; white-label fallback needs almost no selling</t>
  </si>
  <si>
    <t>Sprint gate missed → pivot to subcontract model within 30 days</t>
  </si>
  <si>
    <t>Client mortality in niches</t>
  </si>
  <si>
    <t>High × Med</t>
  </si>
  <si>
    <t>Restaurants capped 25%; prefer 2yr+ businesses; third stickier niche (professional services) as ballast</t>
  </si>
  <si>
    <t>Roster churn &gt;20%/yr → rebalance niches before growing</t>
  </si>
  <si>
    <t>Intuit repricing / platform squeeze</t>
  </si>
  <si>
    <t>Med × Med</t>
  </si>
  <si>
    <t>Wholesale margin treated as rebate, never profit; pass-through billing design; Xero L1 maintained as credible exit</t>
  </si>
  <si>
    <t>ProAdvisor discount cut → shift new clients to client-billed retail within one quarter</t>
  </si>
  <si>
    <t>M9</t>
  </si>
  <si>
    <t>AI "done-for-you" leapfrog</t>
  </si>
  <si>
    <t>Low-Med × High</t>
  </si>
  <si>
    <t>Firm already operates AI-forward (automation inside, judgment out); niches chosen where books resist full automation (job costing, POS/tips)</t>
  </si>
  <si>
    <t>Intuit ships an autonomous bookkeeping product with traction → accelerate advisory-tier move</t>
  </si>
  <si>
    <t>Scope creep on fixed fees</t>
  </si>
  <si>
    <t>Engagement-letter scope armor; separate line items; change orders for anything new; annual price step</t>
  </si>
  <si>
    <t>Any client at &gt;8 steady-state hours for 2 straight months → reprice or exit them</t>
  </si>
  <si>
    <t>Texas data-processing tax drift</t>
  </si>
  <si>
    <t>Low × Med</t>
  </si>
  <si>
    <t>Payroll/AP/AR excluded at launch; services invoiced as separate lines; annual CPA check on the 2025 rule's automation boundary</t>
  </si>
  <si>
    <t>Comptroller guidance names automated bookkeeping → collect-and-remit from next invoice</t>
  </si>
  <si>
    <t>Data breach / credential theft</t>
  </si>
  <si>
    <t>M10</t>
  </si>
  <si>
    <t>Portal-only documents, MFA everywhere, cyber policy, 7-year encrypted archive</t>
  </si>
  <si>
    <t>Any incident → carrier notice within 24h per policy</t>
  </si>
  <si>
    <t>WOSB control-test failure</t>
  </si>
  <si>
    <t>Low × Low-Med</t>
  </si>
  <si>
    <t>Sarah is 100% owner; operating-agreement language check before filing; this plan's role wording already written for examiners</t>
  </si>
  <si>
    <t>SBA questions control → attorney letter within the response window</t>
  </si>
  <si>
    <t>January capacity crunch</t>
  </si>
  <si>
    <t>Certain × Med</t>
  </si>
  <si>
    <t>W-9s at onboarding; 1099s priced as January fee; onboarding freeze mid-Jan to mid-Feb; cleanup quoted-not-rushed</t>
  </si>
  <si>
    <t>Close-by-day slips in January → freeze extends to March 1</t>
  </si>
  <si>
    <t>Household income concentration</t>
  </si>
  <si>
    <t>VA floor + Sarah's maintained employability (network, credentials kept warm) + solo-401k assets outside the firm</t>
  </si>
  <si>
    <t>Reserves under 9 months → parallel job search activates (standing rule, Tab 9)</t>
  </si>
  <si>
    <t>E&amp;O claim</t>
  </si>
  <si>
    <t>Low × High</t>
  </si>
  <si>
    <t>Claims-made policy bound before client #1 with clean retro date; no tax advice; documented review trail; tail coverage on any wind-down</t>
  </si>
  <si>
    <t>M11</t>
  </si>
  <si>
    <t>Any client dispute in writing → carrier notice immediately, before resolution attempts</t>
  </si>
  <si>
    <t>What This Register Deliberately Admits</t>
  </si>
  <si>
    <t>Three assumptions in this plan are triangulated rather than measured, and no citation can fix that: (1) hours-per-client is an industry benchmark, not this firm's measured number — the model prices the pessimistic end until real data exists; (2) no reliable survey of solo-firm revenue exists — the ceiling math is built from hours and rates, not from a published distribution; (3) retention benchmarks come from industry compilations of uneven quality — which is why the model runs at 75-85%, the honest band, not the 95% the industry content repeats. Where the evidence is anecdotal (practitioner threads), it is labeled anecdotal in Tab 14.</t>
  </si>
  <si>
    <t>Source: Recession behavior: CPA Trendlines 2009 fee data; Intuit COVID-19 practitioner survey; niche mortality: Owner.com/LendingTree closure analyses; platform risk: Intuit SEC 8-K + ProAdvisor program history; TFRP and tax-drift: IRS + Texas Comptroller. Full citations Tab 14.</t>
  </si>
  <si>
    <t>M12</t>
  </si>
  <si>
    <t>YEAR 1</t>
  </si>
  <si>
    <t>CERTIFICATIONS &amp; GROWTH PROGRAMS</t>
  </si>
  <si>
    <t>Cash equals accrual in this model: every retainer drafts on the 1st in advance, cleanup takes a 50% deposit at signing, and the firm carries zero receivables — so the net income line IS the cash line, less only owner draws. The client-add pattern above deliberately passes each decision gate (3 by month 3, 5 by month 6, 9 by month 12); the gates and what happens on a miss live in Tab 12.</t>
  </si>
  <si>
    <t>Years 2-3 Scenarios (annual view; churn priced in via net adds)</t>
  </si>
  <si>
    <t>The women-owned path, stated honestly — then the acquisition strategy for buying books of business</t>
  </si>
  <si>
    <t>Material Change Disclosed First: Texas Ended Its Women/Minority HUB Program</t>
  </si>
  <si>
    <t>Scenario</t>
  </si>
  <si>
    <t>End Y2 clients</t>
  </si>
  <si>
    <t>Y2 avg fee $</t>
  </si>
  <si>
    <t>On December 2, 2025, the Texas Comptroller restructured the Historically Underutilized Business program into "VetHUB," which now serves only businesses 51%-owned and controlled by service-disabled veterans (20%+ rating). All certifications based on sex, race, or ethnicity were revoked. The state-level women-owned certification this plan would otherwise have pursued no longer exists. The program runs on emergency rules with litigation ongoing. This plan proceeds on the women-owned path anyway, for the reasons in the "considered and declined" box below — but the change is disclosed here because a plan that hid it would fail the first stress-test question.</t>
  </si>
  <si>
    <t>Y2 total revenue</t>
  </si>
  <si>
    <t>Certifications Available to This Firm (Sarah, 100% owner)</t>
  </si>
  <si>
    <t>End Y3 clients</t>
  </si>
  <si>
    <t>Y3 avg fee $</t>
  </si>
  <si>
    <t>Y3 total revenue</t>
  </si>
  <si>
    <t>Certification</t>
  </si>
  <si>
    <t>Y3 firm profit — PRE-TAX, PRE-OWNER-PAY</t>
  </si>
  <si>
    <t>Requires</t>
  </si>
  <si>
    <t>Cost / time</t>
  </si>
  <si>
    <t>Conservative</t>
  </si>
  <si>
    <t>What it actually delivers (evidence)</t>
  </si>
  <si>
    <t>SBA WOSB (federal)</t>
  </si>
  <si>
    <t>Free via MySBA; ~90 days to decide (13 CFR 127.304(a)); then ~0.5 hr every 3 years</t>
  </si>
  <si>
    <t>Honest dollar data (USAspending API, NAICS 541219): WOSB set-asides were $1.1M-$1.5M/yr FY23-24 and NET NEGATIVE in FY25. Eligibility has not translated into dollars in this code. Value = credibility marker + long-term option, not a channel.</t>
  </si>
  <si>
    <t>FILE IT — it is free; expect $0 near-term revenue from it</t>
  </si>
  <si>
    <t>SAM.gov registration</t>
  </si>
  <si>
    <t>Free; renews every 365 days; ~2.6-3 hrs/yr</t>
  </si>
  <si>
    <t>Prerequisite for any government work ever. Registration expires at 365 days and must be actively renewed or it lapses, taking WOSB eligibility with it. FAR 4.1201(b)(1) and clause 52.204-13 require an annual review and update of the registration and its representations and certifications. The 2.6-3 hour figure is the government's own Paperwork Reduction Act burden estimate, not a guess. Allow 10 business days to go active, so start ~60 days early. Renewal is free — anyone charging for it is not a government service.</t>
  </si>
  <si>
    <t>Calendar renewal at day 305 each year</t>
  </si>
  <si>
    <t>WOSB ongoing maintenance</t>
  </si>
  <si>
    <t>$0 cash; ~0.5 hr every 3 years</t>
  </si>
  <si>
    <t>TRIENNIAL, not annual. Under 13 CFR 127.400 a certified firm undergoes a program examination every three years, and must recertify or report a third-party examination within the 90 days before its eligibility period ends (30-day reinstatement grace after that). The annual attestation that used to apply was repealed effective May 30, 2023 (88 FR 26214) and SBA has it in abeyance. Program examinations are conducted by SBA at no cost — no paid outside auditor is required. Standing duty in between: notify SBA in writing within 30 days of any material change in ownership, structure, or management (13 CFR 127.401).</t>
  </si>
  <si>
    <t>Calendar recertification at 2 yrs 9 months; keep an eligibility file current</t>
  </si>
  <si>
    <t>NCTRCA / City of Dallas M/WBE</t>
  </si>
  <si>
    <t>Modest fees; ~60-90 days</t>
  </si>
  <si>
    <t>City of Dallas still recognizes M/WBE for municipal contracting, though the statewide direction of travel is against sex-based programs</t>
  </si>
  <si>
    <t>File when a municipal prospect exists, not before</t>
  </si>
  <si>
    <t>WBENC (private/corporate)</t>
  </si>
  <si>
    <t>$350/yr under $1M revenue</t>
  </si>
  <si>
    <t>No hire; referrals only; retention 75%. Sits inside the 15-client solo ceiling in both years.</t>
  </si>
  <si>
    <t>Corporate supplier-diversity channel; retrenching nationally (200+ S&amp;P 500 firms scrubbed DEI language) but actual diverse-supplier spend hit record highs in 2024 under "supplier inclusion" rebrands</t>
  </si>
  <si>
    <t>Only if a specific corporate prospect asks</t>
  </si>
  <si>
    <t>Moderate</t>
  </si>
  <si>
    <t>Texas VetHUB</t>
  </si>
  <si>
    <t>Free; up to 90 days</t>
  </si>
  <si>
    <t>The only remaining state certification — requires 51% service-disabled-veteran ownership AND control</t>
  </si>
  <si>
    <t>NOT AVAILABLE under current structure — see declined box</t>
  </si>
  <si>
    <t>Considered and Declined: Restructuring for the Veteran Certification Stack</t>
  </si>
  <si>
    <t>EXIT STRATEGIES &amp; JOB-MARKET FALLBACK</t>
  </si>
  <si>
    <t>The research is presented in full because the reviewer should see the road not taken. Federal SDVOSB set-asides in this exact NAICS code ran $19-28M/yr (15-25x the WOSB dollars), with sole-source authority to $4.5M and VA "Vets First" preference. SBA rules (13 CFR 128.203) even allow the spouse of a permanently-and-totally disabled veteran to control the company day-to-day. Reaching it would require restructuring to Brad owning 51%. DECLINED, for three reasons: (1) the household deliberately structured this LLC under Sarah's ownership, and that decision is settled; (2) the veteran route carries verification burdens and, depending on rating type, risk to disability status that money cannot justify; (3) the entire government channel — either flavor — is a year-3+ option for a two-person firm with no past performance, so the foregone dollars are speculative. Veteran identity still helps where it needs no ownership: "veteran-family business" is honest DFW marketing language, and veteran business networks are open doors.</t>
  </si>
  <si>
    <t>If it fails: how it unwinds, what survives, and why the attempt is not wasted</t>
  </si>
  <si>
    <t>Expansion Strategy: Buying Books of Business (Phase 2 — year 3+, zero weight in the base case)</t>
  </si>
  <si>
    <t>Decision Gates (set now, before feelings are involved)</t>
  </si>
  <si>
    <t>Element</t>
  </si>
  <si>
    <t>Market data</t>
  </si>
  <si>
    <t>Rule adopted</t>
  </si>
  <si>
    <t>Ends Y3 exactly at the 15-client solo ceiling computed in Tab 7; the hire decision is live but not yet taken.</t>
  </si>
  <si>
    <t>What sells</t>
  </si>
  <si>
    <t>Threshold</t>
  </si>
  <si>
    <t>Bookkeeping firms: ~1.0-1.2x annual collections; 2.55-3.32x SDE; write-up books at the 0.7-1.0x low end</t>
  </si>
  <si>
    <t>Optimistic</t>
  </si>
  <si>
    <t>If missed</t>
  </si>
  <si>
    <t>Retiring solo practitioners are the supply — the same BLS replacement wave documented in Tab 3</t>
  </si>
  <si>
    <t>Target off-market solo books, 0.8-1.2x</t>
  </si>
  <si>
    <t>Principle</t>
  </si>
  <si>
    <t>How deals are structured</t>
  </si>
  <si>
    <t>Seller financing + retention-based earnout is standard</t>
  </si>
  <si>
    <t>Day 90</t>
  </si>
  <si>
    <t>Buyer pays as clients actually stay (1-2 years); clawback protects against transfer churn — sellers finance because transfer retention is the real risk</t>
  </si>
  <si>
    <t>Never pay cash up front for relationships</t>
  </si>
  <si>
    <t>3 signed clients (30 conversations, 10 proposals)</t>
  </si>
  <si>
    <t>Where to look</t>
  </si>
  <si>
    <t>Accounting Practice Sales, Poe Group Advisors, BizBuySell + direct mail to bookkeepers 60+ in DFW</t>
  </si>
  <si>
    <t>Diagnose channel, not effort; pivot niche or pivot to white-label subcontracting within 30 days</t>
  </si>
  <si>
    <t>Off-market direct outreach avoids competitive bidding on listed practices</t>
  </si>
  <si>
    <t>The sprint is a test, not a verdict on the household</t>
  </si>
  <si>
    <t>Brad runs the sourcing list like the lead lists</t>
  </si>
  <si>
    <t>Readiness gate</t>
  </si>
  <si>
    <t>Month 6</t>
  </si>
  <si>
    <t>Transferred clients churn hardest in year one; a buyer under 2 years old compounds it</t>
  </si>
  <si>
    <t>The firm earns the right to buy by demonstrating its OWN retention above ~90% and clean financials for 2 years</t>
  </si>
  <si>
    <t>3-5 clients, ~$1,500-2,500 MRR</t>
  </si>
  <si>
    <t>No acquisition before month 24; zero weight in projections</t>
  </si>
  <si>
    <t>Crosses the ceiling during Y2 (16 &gt; 15), so the contract preparer is hired in Y2, not Y3. Y2 revenue is shown GROSS of that labor cost; only the Y3 profit column charges it.</t>
  </si>
  <si>
    <t>What $50k buys (illustration)</t>
  </si>
  <si>
    <t>Yellow: secure a CPA-overflow subcontract relationship as income bridge + supervised reps</t>
  </si>
  <si>
    <t>A ~$50k-collections book at 1.0x, seller-financed over 2 years from the book's own cash flow</t>
  </si>
  <si>
    <t>Exit options degrade slowly, not suddenly</t>
  </si>
  <si>
    <t>≈8-10 clients arriving at once — a year of organic growth in one signature, funded by operating cash</t>
  </si>
  <si>
    <t>FORMULA, SPELLED OUT. Revenue = (ending clients) x (avg fee) x 12 x 0.92 + cleanup ($15k Y2 / $20k Y3). Worked example, Moderate Y2: 13 x $550 x 12 = $85,800, x 0.92 = $78,936, + $15,000 cleanup = $93,936. The profit column subtracts annual fixed costs (linked live from Tab 7) and, above the Tab 7 capacity ceiling, contract-preparer labor at ~$90 per client-month.
WHAT THE 0.92 ASSUMES, STATED PLAINLY. It converts an ending client count into an average one, because this table has no month detail the way the Year 1 table above does. A 0.92 factor against 13 ending clients implies an average of about 12.0 across the year. Starting from 9 clients at the end of Year 1, a straight-line ramp to 13 would average 11.0, which is a factor of about 0.85. So 0.92 assumes Year 2 additions are front-loaded into the first four or five months, which is the intent (Year 1 exits with a filled pipeline and referral momentum) but is an assumption, not a fact. Setting the factor to 0.85 instead reduces Moderate Y2 revenue by roughly $6,700. That is the honest sensitivity, and it is the kind of thing worth arguing about.
PRE-TAX, PRE-OWNER-PAY. The profit column is before tax and before either owner is paid. Expect 22-28% to self-employment and federal income tax after the QBI deduction, with no Texas income tax. Crossover test: Tab 12 shows the DFW corporate path; this firm beats it on money alone only if MRR reaches ~$15-20k by month 30-36. Below that, the honest justification is autonomy, household fit, and the sellable asset.</t>
  </si>
  <si>
    <t>Phase 2 financing plan; revisit at gate</t>
  </si>
  <si>
    <t>8-12 clients, ~$4,000-6,000 MRR</t>
  </si>
  <si>
    <t>Red: begin tuck-in/employment conversations while the book still has sale value</t>
  </si>
  <si>
    <t>Buy-side vs sell-side (do not confuse them)</t>
  </si>
  <si>
    <t>Source: Ramp pattern satisfies the decision gates (Tab 12); realization factor and preparer cost from AICPA CAS benchmark ranges; cleanup volumes front-loaded per practitioner literature (Q1 spike). All yellow cells editable.</t>
  </si>
  <si>
    <t>A shrinking book is worth more sold early</t>
  </si>
  <si>
    <t>Buy 0.8-1.2x · Sell (this firm, young) 0.5-0.8x realized · Sell (mature, staffed) 1.0-1.4x+</t>
  </si>
  <si>
    <t>Month 18</t>
  </si>
  <si>
    <t>These are different numbers for different situations and the plan uses both deliberately. Acquiring another practitioner's book is a negotiation where paying less is the goal. Selling THIS firm early means selling a young, owner-dependent book, which takes a real discount. A matured firm with documented processes, a preparer on staff, and 90%+ retention sells at the higher end — which is the argument for building the close checklists from client #1.</t>
  </si>
  <si>
    <t>Net income within reach of the $72k full-charge floor</t>
  </si>
  <si>
    <t>Both figures stated where used</t>
  </si>
  <si>
    <t>Execute exit: sell or merge the book, take employment</t>
  </si>
  <si>
    <t>Every gate exits into the salary table below, not into zero</t>
  </si>
  <si>
    <t>The Service Ladder Beyond the Ceiling (year 3+ options, each costed in earlier tabs)</t>
  </si>
  <si>
    <t>Month 30-36</t>
  </si>
  <si>
    <t>$15-20k MRR trajectory</t>
  </si>
  <si>
    <t>Below this, the firm loses to the corporate path on money alone — continue only for autonomy, household fit, and the sellable asset, and say so out loud</t>
  </si>
  <si>
    <t>The crossover test, named honestly</t>
  </si>
  <si>
    <t>Three levers stack past the $117k solo ceiling: (1) the contract-preparer hire at ~12-14 clients (Tab 8 optimistic case); (2) the service ladder — payroll administration (with sales tax collected and NO payment authority), then controller-level review at $2,000-8,000/mo per client, the natural landing zone for an MBA and the fractional path where 3-4 clients replicate a corporate salary at part-time hours; (3) acquired books, above. None is required for the base case; all three are how $110k becomes $200k+ if the household wants it to.</t>
  </si>
  <si>
    <t>Wind-Down Mechanics (60-90 days, contractual not regulatory — no license exists to surrender)</t>
  </si>
  <si>
    <t>Source: VetHUB: Texas Comptroller + Texas Tribune (Dec 2, 2025); set-aside dollars: USAspending.gov API pulls FY2023-25, NAICS 541219; 13 CFR 127/128 (eCFR); WBENC fees: WBEC published schedules; practice multiples: Peak Business Valuation + Accounting Practice Sales; fractional rates: NerdWallet + vendor guides (triangulated). Full citations Tab 14.</t>
  </si>
  <si>
    <t>Client termination letters</t>
  </si>
  <si>
    <t>30 days' notice per engagement letter, delivery proof, all committed work completed through termination — corner-cutting at the end is the malpractice pattern</t>
  </si>
  <si>
    <t>Records return &amp; retention</t>
  </si>
  <si>
    <t>Under $100</t>
  </si>
  <si>
    <t>Source documents returned; portal access closed; firm workpapers archived encrypted 7 years (industry standard; IRS preparer minimum is 3)</t>
  </si>
  <si>
    <t>Tail insurance</t>
  </si>
  <si>
    <t>Few hundred $/yr, 1-2 years</t>
  </si>
  <si>
    <t>E&amp;O claims arrive after the work ends; tail coverage closes the exposure</t>
  </si>
  <si>
    <t>Entity disposition</t>
  </si>
  <si>
    <t>$0 or $40</t>
  </si>
  <si>
    <t>Keep the LLC dormant at ~$0/yr (below franchise threshold) as a restart option, or terminate ($40 SOS fee + final franchise filing)</t>
  </si>
  <si>
    <t>Book sale (see below)</t>
  </si>
  <si>
    <t>Proceeds, not cost</t>
  </si>
  <si>
    <t>Even a 5-client book has a buyer</t>
  </si>
  <si>
    <t>What a Small Book Sells For (failure-scale math)</t>
  </si>
  <si>
    <t>Bookkeeping practices trade at ~1.04-1.17x revenue (2.55-3.32x SDE); young owner-dependent books take a 0.2-0.4x haircut. Realistic failure-scale example: 10 clients × $400/mo = $48k annual collections; a sale at 0.5-0.8x on a collections-based earnout yields roughly $24-38k, paid over 1-2 years as clients stay. Buyers at this scale exist in numbers: local CPA firms wanting recurring write-up work, other solo bookkeepers, and PE-backed platforms doing tuck-ins. The frequently-better alternative: the TUCK-IN — sell the book to a firm that also hires Sarah, converting the practice into a Dallas-market salary plus a book payment. Failed practices in this trade convert into jobs; that conversion is the real downside protection.</t>
  </si>
  <si>
    <t>Job-Market Fallback: DFW Salaries the Practice Experience Feeds Into (2026 data)</t>
  </si>
  <si>
    <t>DFW pay</t>
  </si>
  <si>
    <t>Source</t>
  </si>
  <si>
    <t>Bookkeeper (all, median)</t>
  </si>
  <si>
    <t>$51,720</t>
  </si>
  <si>
    <t>BLS OEWS May 2025 (API)</t>
  </si>
  <si>
    <t>The floor, not the target</t>
  </si>
  <si>
    <t>Full-charge bookkeeper</t>
  </si>
  <si>
    <t>Reading this table: the $3,000/month household target is crossed at 8 early-priced clients or 5-6 mature-priced clients. The capacity column reads the ceiling honestly in two stages — "tight during ramp" marks counts that fit only once clients mature to steady-state hours, and "OVER" marks counts that need the contract preparer regardless. At the default 30% non-delivery reserve, the practical solo ceiling is ~15 clients, and roughly 8 while every client is still new. WHAT THE LAST COLUMN IS NOT: it is firm profit before any tax and before either owner is paid. Labor is not a cost line because both operators are owners, so the real "cost" of their time is the fallback salary they forgo (priced in Tab 12). To get to household cash, subtract self-employment tax of roughly 15.3% on 92.35% of profit, then federal income tax on what remains after the 20% QBI deduction — call it 22-28% of firm profit in total at these levels, with no Texas income tax. At the 15-client ceiling that turns roughly $9,460/month of firm profit into roughly $6,800-7,400/month of household cash before any health-insurance cost.</t>
  </si>
  <si>
    <t>Source: Model structure: fixed costs from Tab 6 stack; pricing bands from Ignition 2025/26 benchmark (n=219) + six DFW firm pages; hours from Jetpack Workflow benchmark, red-team adjusted; retention from SmartFirm/Agiled compilations. Every input is editable — the defaults are the defended case.</t>
  </si>
  <si>
    <t>$71,820-$94,050</t>
  </si>
  <si>
    <t>Robert Half 2026 Dallas guide</t>
  </si>
  <si>
    <t>IMMEDIATE fit after 12-18 months of practice: "MBA who ran P&amp;L for 10 small businesses"</t>
  </si>
  <si>
    <t>Accounting manager</t>
  </si>
  <si>
    <t>$110,295-$145,350</t>
  </si>
  <si>
    <t>Robert Half 2026 Dallas</t>
  </si>
  <si>
    <t>1-2 years of practice + MBA</t>
  </si>
  <si>
    <t>Assistant controller</t>
  </si>
  <si>
    <t>$107,160-$161,880</t>
  </si>
  <si>
    <t>Robert Half 2026 Dallas/Fort Worth</t>
  </si>
  <si>
    <t>Small companies prize hands-on QBO + management judgment — exactly what the practice builds</t>
  </si>
  <si>
    <t>Controller (small/mid co.)</t>
  </si>
  <si>
    <t>~$125,600-$216,200</t>
  </si>
  <si>
    <t>Built In / Glassdoor DFW (directional)</t>
  </si>
  <si>
    <t>The 4-6 year ladder top</t>
  </si>
  <si>
    <t>FP&amp;A manager</t>
  </si>
  <si>
    <t>$105,000-$150,000+ (national)</t>
  </si>
  <si>
    <t>Finance Alliance guide</t>
  </si>
  <si>
    <t>MBA-native track; gap to close is Excel/Power BI modeling, not accounting</t>
  </si>
  <si>
    <t>Financial manager (all, median)</t>
  </si>
  <si>
    <t>$169,200</t>
  </si>
  <si>
    <t>BLS OEWS May 2025 DFW</t>
  </si>
  <si>
    <t>The occupation grows +5% while bookkeeping clerks decline — the ladder points at the growing tier</t>
  </si>
  <si>
    <t>Market liquidity check (July 2026): ~1,100 bookkeeping postings live in DFW on Indeed alone; Robert Half maintains a dedicated remote feed. Self-employment counts as real experience when documented (formal role, P&amp;Ls, client references, clean testimonials) — the plan archives these from day one. The MBA is not diluted by the detour: operational finance tracks explicitly value accounting-side entrants, and "has actually closed books" beats "has only modeled them" at small-company controller level. The only track the practice does not feed is investment banking, which was never the realistic path from DFW small-business work.</t>
  </si>
  <si>
    <t>Sunk-Cost Accounting of a Failed Attempt</t>
  </si>
  <si>
    <t>Recoverable</t>
  </si>
  <si>
    <t>Unrecoverable</t>
  </si>
  <si>
    <t>ProAdvisor certification (free, portable); all technical skills and process documentation; the MBA (untouched); the LLC shell (dormant free); client relationships (convert to employer, referral network, or an in-house role — a common outcome); WOSB certification (survives a pivot to any service line); the entire web/portal infrastructure (Brad reuses it)</t>
  </si>
  <si>
    <t>ANTICIPATED QUESTIONS — THE HARD REVIEW</t>
  </si>
  <si>
    <t>Sarah's time (opportunity cost ≈ the salary table above, the real cost); ~$2-6k marketing spend over 18 months; ~$1-2k/yr software; ~$1-1.4k/yr insurance; $0-400 legal</t>
  </si>
  <si>
    <t>An adversarial reviewer was asked to attack this plan. The 18 sharpest questions, with answers and the concessions adopted into the model.</t>
  </si>
  <si>
    <t>Worst realistic case, stated plainly: the attempt costs roughly 18 months of forgone salary minus whatever the book sells for — and ends with Sarah more employable in the $72-145k band than she was at launch. That is the sense in which the attempt is "not a waste of time": every failure path terminates in a stronger resume, a sellable asset, or both.</t>
  </si>
  <si>
    <t>Capability &amp; Capacity</t>
  </si>
  <si>
    <t>The question, as a skeptic asks it</t>
  </si>
  <si>
    <t>Source: Wind-down: Financial Cents/TaxDome termination-letter standards; The Tax Adviser retention guidance; multiples: Peak Business Valuation, Accounting Practice Sales; tuck-ins: CT Acquisitions + Inside Public Accounting deal reports; salaries: BLS OEWS May 2025 API + Robert Half 2026 (staffing-firm incentive flagged); posting volume: Indeed July 2026. Full citations Tab 14.</t>
  </si>
  <si>
    <t>The answer</t>
  </si>
  <si>
    <t>Concession adopted</t>
  </si>
  <si>
    <t>"Your operator has an MBA and zero bookkeeping experience. ProAdvisor is a software exam you can pass in a weekend. Why should anyone trust you, and why believe your hours-per-client estimate?"</t>
  </si>
  <si>
    <t>Conceded in part: the certification is a tool credential, not competency proof, and this plan never presents it otherwise. The mitigation is structural: first books at reduced fee for warm-network businesses, CPA review purchased for the first year-end closes, and a skills runway (sandbox practice, a deliberately-wrecked file cleaned by checklist) before any stranger's books.</t>
  </si>
  <si>
    <t>Hours budgeted at 8-10/client for months 1-6; the 5-hour figure must be earned, not assumed</t>
  </si>
  <si>
    <t>"Sarah is the only person who can produce the product. What happens to the retainers if she is out six weeks?"</t>
  </si>
  <si>
    <t>The plan's largest operational risk, conceded. Mitigations: documented per-client close checklists from client #1 (which also enable hiring and sale), Brad cross-trained on mechanics, a backup-bookkeeper relationship built by month 6, and own-occupation disability insurance once revenue justifies it.</t>
  </si>
  <si>
    <t>Key-person risk carries a named tripwire in Tab 10</t>
  </si>
  <si>
    <t>"The plan says two people. It is really 1.0 production FTE, isn't it?"</t>
  </si>
  <si>
    <t>Yes. Brad's hours build systems, marketing, and pipeline; they do not close books. Stated in Tab 2 and every capacity number is computed on 1.0 production FTE.</t>
  </si>
  <si>
    <t>Adopted verbatim</t>
  </si>
  <si>
    <t>"Show me the real ceiling."</t>
  </si>
  <si>
    <t>Industry benchmarks put 10-20 full-service clients per bookkeeper, and a naive calculation (110 hours / 5 hrs per client) gives 22. The plan does not use that number, because it ignores the hours an owner-operator spends selling, learning, and running the firm. Tab 7 subtracts a 30% non-delivery reserve, leaving 77 deliverable hours and a computed ceiling of 15 mature clients, or about 8 while every client is still new. 15 is the number used everywhere in this plan; it is a live formula in Tab 7, so changing the reserve changes it. Quality breaks first in January-March, not in a typical month.</t>
  </si>
  <si>
    <t>One ceiling number, computed not asserted: 15. Hiring trigger at 12-14 clients, before the ceiling, not at it.</t>
  </si>
  <si>
    <t>Economics &amp; Market</t>
  </si>
  <si>
    <t>Question</t>
  </si>
  <si>
    <t>Answer</t>
  </si>
  <si>
    <t>"Your LTV assumes retention you have not earned. What is it at realistic first-year retention?"</t>
  </si>
  <si>
    <t>At 70% retention LTV is ~$20k; at 85%, ~$40k; the industry-content $30k+ assumes established-firm retention. The model runs 75-85% for years 1-2 and treats 95% as a year-3 goal contingent on demonstrated quality.</t>
  </si>
  <si>
    <t>LTV restated to $15-20k planning figure (Tab 5)</t>
  </si>
  <si>
    <t>"Contractors and restaurants are among the most failure-prone client bases available. How does a client that dies in year two produce a five-year LTV?"</t>
  </si>
  <si>
    <t>It does not, and the blended model carries a client-mortality discount by segment. Restaurants (~49% five-year closure) are capped at ~25% of roster; the firm prefers 2yr+ businesses; professional services are the stable ballast. The niches are still right: high pain, high outsourcing willingness, low specialist competition.</t>
  </si>
  <si>
    <t>Roster caps and screening scorecard (Tabs 3-4)</t>
  </si>
  <si>
    <t>"Why does a contractor pay a rookie $450 when a national brand sells at $300?"</t>
  </si>
  <si>
    <t>The $300 tier keeps collapsing (Bench stranded thousands mid-year; Intuit is retiring QuickBooks Live itself, effective July 29, 2026). Local, named, responsive specialists price inside the umbrella the failures left standing. But conceded: early clients anchor low, which is why the first-ten pricing is $350-450 and mature pricing is earned through niche proof.</t>
  </si>
  <si>
    <t>The ramp is priced into every projection</t>
  </si>
  <si>
    <t>"Your cost structure leans on Intuit's 30% wholesale margin. Intuit has repriced ProAdvisor repeatedly. What happens when they do it again?"</t>
  </si>
  <si>
    <t>The margin is treated as a rebate, never as the profit line; billing is structured so software cost can pass through at retail if forced; Xero Level 1 is maintained as a credible exit. The core service margin survives the wholesale margin going to zero.</t>
  </si>
  <si>
    <t>Platform-risk tripwire in Tab 10</t>
  </si>
  <si>
    <t>"11-13k new DFW filings a month sounds impressive. New businesses are broke and die fast."</t>
  </si>
  <si>
    <t>Correct — it is a gross number and brand-new businesses are the industry's worst clients. The drip list is a cheap automated experiment whose value arrives at month 12+, when last year's filings have revenue, a shoebox, and their first tax-season panic. It ranks 5th of 6 channels.</t>
  </si>
  <si>
    <t>Expected conversion stated at under 1%</t>
  </si>
  <si>
    <t>"What does this firm do in a recession?"</t>
  </si>
  <si>
    <t>Resilient, not immune: 2009 CPA net fees were flat (+0.6%), 2020 compliance chaos actually raised demand. Offsetting dynamics: businesses cut in-house bookkeepers and outsource (tailwind for a $400-600 firm) while marginal clients die (headwind in these niches). The ~$190/mo cost base means the firm survives almost any revenue level — the true advantage over leveraged models.</t>
  </si>
  <si>
    <t>Churn-spike scenario in the risk register</t>
  </si>
  <si>
    <t>Tax &amp; Household Structure</t>
  </si>
  <si>
    <t>"Run the S-corp election math honestly — including the two-working-owner problem and QBI erosion, not the blog version."</t>
  </si>
  <si>
    <t>At $50k profit: reasonable compensation consumes everything; do not elect. At $100k: ~$4.2k gross FICA savings minus ~$2k admin minus $1.5-2.8k QBI erosion ≈ break-even; do not elect yet. At $150k+: net savings ~$3-4k/yr; worthwhile, marginally. Election earns its keep at sustained ~$150k+, clearly at $200k+. Bonus structural fact: as a community-property single-owner LLC, the entity stays a disregarded entity (no partnership return) until an election is ever made.</t>
  </si>
  <si>
    <t>Election deferred; revisit gate written at sustained $150k profit</t>
  </si>
  <si>
    <t>"Does QBI even apply? Bookkeeping is a specified service business."</t>
  </si>
  <si>
    <t>SOURCES &amp; METHODOLOGY</t>
  </si>
  <si>
    <t>SSTB status is irrelevant below the thresholds: OBBBA (July 2025) made the 20% deduction permanent, and the 2026 MFJ phase-out does not begin until $403,500 of taxable income. This household is below it for years — the full 20% federal deduction on firm profits applies and is a genuine, quantifiable advantage of self-employment the plan claims explicitly.</t>
  </si>
  <si>
    <t>Claimed as a plan advantage, with the threshold cited</t>
  </si>
  <si>
    <t>"What does health insurance actually cost this household now that the enhanced ACA subsidies are dead?"</t>
  </si>
  <si>
    <t>Every load-bearing figure, graded. Verified = primary source retrieved directly. Directional = credible secondary. Anecdotal = labeled as such wherever used.</t>
  </si>
  <si>
    <t>The pivotal unpriced item, conceded and now priced. Brad: VA healthcare, stable. Sarah, best case: if Brad's rating is permanent-and-total, CHAMPVA covers her — no premium, $3,000 annual out-of-pocket cap — and the problem largely disappears. Otherwise: Texas 2026 benchmark premiums ~$661/mo pre-credit with the 400% FPL cliff back; budget $600-900/mo once household income crosses it, partly offset by the self-employed health-insurance deduction.</t>
  </si>
  <si>
    <t>Methodology</t>
  </si>
  <si>
    <t>ACTION ITEM: confirm P&amp;T status in writing — it swings a five-figure annual line</t>
  </si>
  <si>
    <t>"Retirement?"</t>
  </si>
  <si>
    <t>A structural win: a solo 401k can cover both spouses — 2026 limits are $24,500 employee deferral each plus employer contributions to $72,000 total each, up to $144,000 combined capacity once profits allow. Chosen over SEP-IRA for higher effective limits at modest income plus Roth options. Note the interaction: an early S-corp election shrinks this capacity (distributions are not compensation), one more reason the election waits.</t>
  </si>
  <si>
    <t>Research was performed July 2026 by parallel investigation agents with source-quality grading. Government data was pulled directly from agency APIs (BLS, USAspending, SEC EDGAR) rather than from restatements. Content farms, affiliate/lead-gen education sites, and seller-conflicted sources (course sellers quoting their own value; credentialing bodies quoting uncontrolled surveys; staffing firms' incentives flagged) were identified and excluded or downweighted — the exclusion lists are auditable in the underlying research files. One original dataset was built for this plan: a 223-posting LinkedIn audit (114 full descriptions) testing which credentials employers actually name. Where evidence is anecdotal (practitioner forums), it is labeled anecdotal at point of use and never load-bearing alone.</t>
  </si>
  <si>
    <t>Solo 401k named as the vehicle in the plan</t>
  </si>
  <si>
    <t>Primary / Government (Verified)</t>
  </si>
  <si>
    <t>"Both spouses, one brand-new firm. Every planner calls this concentration risk."</t>
  </si>
  <si>
    <t>The household is not actually 100% concentrated: VA disability compensation is a fixed, inflation-adjusted, employment-independent floor most two-founder households lack. Sarah's employability is treated as a maintained asset (network and credentials kept warm, return-to-W-2 within a quarter). What the plan does not claim: that concentration is costless — hence disability insurance and the written kill criteria.</t>
  </si>
  <si>
    <t>The 9-12 month reserves rule (Tab 9)</t>
  </si>
  <si>
    <t>"Her market wage is real money. Why isn't this an expensive hobby?"</t>
  </si>
  <si>
    <t>On pure 2-3 year discounted cash, a corporate job likely wins — the plan does not pretend otherwise. The honest case: she was laid off (the comparison includes search time and market risk, not an offer in hand); the household's constraints favor flexibility a W-2 does not give; a firm at $15-20k MRR is sellable at ~1x collections, which a salary never is; QBI plus dual solo-401k capacity narrow the after-tax gap. The crossover is named: ~$15-20k MRR by month 30-36 beats the corporate path on money alone. Below that, the justification is autonomy and fit — stated out loud, not hidden.</t>
  </si>
  <si>
    <t>Supports</t>
  </si>
  <si>
    <t>Crossover analysis embedded in Tabs 8 and 12</t>
  </si>
  <si>
    <t>Grade</t>
  </si>
  <si>
    <t>Strategy &amp; Certification</t>
  </si>
  <si>
    <t>Reference</t>
  </si>
  <si>
    <t>BLS OEWS May 2025 (via API)</t>
  </si>
  <si>
    <t>All wage data: DFW bookkeeper median $51,720; financial manager $169,200; TX/national percentiles</t>
  </si>
  <si>
    <t>Verified</t>
  </si>
  <si>
    <t>api.bls.gov series OEUN…43303113 et al.</t>
  </si>
  <si>
    <t>"Who actually closes the sale? Has Sarah ever done relationship sales? Does she want to?"</t>
  </si>
  <si>
    <t>Unvalidated, and the plan says so — it is the single least-tested assumption. The 90-day sprint (30 conversations, 10 proposals, 3 clients) tests it cheaply while the option remains to pivot to white-label production, which needs almost no selling at lower margin.</t>
  </si>
  <si>
    <t>BLS Employment Projections 2024-34 + OOH</t>
  </si>
  <si>
    <t>Kill criteria in writing before launch</t>
  </si>
  <si>
    <t>Occupation -6% / -94,300 jobs; ~170,000 annual openings, 100% replacement; automation attribution</t>
  </si>
  <si>
    <t>"You plan to buy books of business. Sellers finance because transferred clients leave. Why would their clients stay with a firm this young?"</t>
  </si>
  <si>
    <t>They often would not, which is why acquisitions carry zero weight in the base case, wait until the firm's own retention is demonstrably above ~90% (month 24+ gate), and are structured seller-financed with retention earnouts and clawbacks — the market-standard protection that exists precisely because of this risk.</t>
  </si>
  <si>
    <t>bls.gov/ooh (bookkeeping clerks)</t>
  </si>
  <si>
    <t>Phase 2 only; zero weight in projections</t>
  </si>
  <si>
    <t>"What does WOSB actually get a two-person bookkeeping firm in 24 months?"</t>
  </si>
  <si>
    <t>USAspending.gov API, NAICS 541219, FY2023-25</t>
  </si>
  <si>
    <t>WOSB set-asides $1.1-1.5M/yr, net-negative FY25; SDVOSB $19-28M/yr (declined path)</t>
  </si>
  <si>
    <t>Near-zero near-term revenue, stated plainly in Tab 11: WOSB set-asides in this NAICS were $1.1-1.5M/yr nationally and net-negative in FY25. It is filed because it is free, it is a credibility marker, and it is a long-term option — and the Texas HUB change (Dec 2025) is disclosed rather than discovered.</t>
  </si>
  <si>
    <t>Verified (original pull)</t>
  </si>
  <si>
    <t>Role wording throughout this plan is written to pass the SBA control test</t>
  </si>
  <si>
    <t>usaspending.gov API</t>
  </si>
  <si>
    <t>"Isn't AI going to eat this?"</t>
  </si>
  <si>
    <t>Intuit SEC Form 8-K, May 20, 2026</t>
  </si>
  <si>
    <t>The 40-year evidence says automation shrinks employment while raising wages for the judgment layer that remains (employment -33%, real wages +40%, 1980-2018). This firm is built to own the judgment layer and automate its own mechanical layer. The residual risk — a good-enough autonomous product — has a named tripwire: if Intuit ships one with traction, the firm accelerates its move up the advisory ladder where the MBA lives anyway.</t>
  </si>
  <si>
    <t>17% workforce reduction, $300-340M charges, AI-native pivot</t>
  </si>
  <si>
    <t>Monitored threat with tripwire, not hand-waved</t>
  </si>
  <si>
    <t>Source: All figures in this tab trace to Tab 14 sources: S-corp/QBI math from 2026 parameters (SSA wage base $184,500; OBBBA §199A; SDO CPA admin-cost ranges; Dallas reasonable-comp benchmarks); CHAMPVA terms from VA guides; ACA from KFF + Texas Tribune; solo 401k from IRS limits via Fidelity/IRA Financial; recession data from CPA Trendlines (2009) and Intuit (2020).</t>
  </si>
  <si>
    <t>sec.gov EDGAR CIK 896878</t>
  </si>
  <si>
    <t>13 CFR 127 &amp; 128 (eCFR)</t>
  </si>
  <si>
    <t>WOSB ownership/control rules; community-property disregard; SDVOSB spouse-control provision (declined path)</t>
  </si>
  <si>
    <t>ecfr.gov</t>
  </si>
  <si>
    <t>Texas Comptroller: Pub. 94-127 + 2025 data-processing rule; franchise/PIR; VetHUB pages</t>
  </si>
  <si>
    <t>Sales-tax treatment of services; compliance calendar; HUB→VetHUB restructuring</t>
  </si>
  <si>
    <t>comptroller.texas.gov</t>
  </si>
  <si>
    <t>TSBPA enforcement guidance</t>
  </si>
  <si>
    <t>Non-CPAs may not use "accountant"/"accounting services" in public offers; no bookkeeping license exists in Texas</t>
  </si>
  <si>
    <t>tsbpa.state.tx.us</t>
  </si>
  <si>
    <t>IRS: TFRP guidance; 1099 deadlines; Pub. 538; §199A/OBBBA parameters</t>
  </si>
  <si>
    <t>Personal liability for withheld taxes; Jan 31 deadline; cash-method eligibility; QBI 20% permanent, 2026 MFJ SSTB phase-out from $403,500</t>
  </si>
  <si>
    <t>irs.gov + Foster/Tax Foundation analyses</t>
  </si>
  <si>
    <t>SSA 2026 wage base ($184,500)</t>
  </si>
  <si>
    <t>S-corp election math</t>
  </si>
  <si>
    <t>Thomson Reuters tax news</t>
  </si>
  <si>
    <t>Texas Tribune + Comptroller, Dec 2, 2025</t>
  </si>
  <si>
    <t>Texas ended women/minority HUB; VetHUB veterans-only; litigation ongoing</t>
  </si>
  <si>
    <t>texastribune.org</t>
  </si>
  <si>
    <t>Stanford GSB (Choi &amp; Xie, 2025); NBER w33941 (Autor &amp; Thompson, 2025)</t>
  </si>
  <si>
    <t>AI task-level effects (7.5-day faster closes); 1980-2018 employment -33% / real wages +40%</t>
  </si>
  <si>
    <t>Verified (academic)</t>
  </si>
  <si>
    <t>gsb.stanford.edu; nber.org/papers/w33941</t>
  </si>
  <si>
    <t>Industry &amp; Benchmark (Verified-to-Directional)</t>
  </si>
  <si>
    <t>AICPA: 2025 MAP Survey, 2024 CAS Benchmark (n=206), 2025 Trends</t>
  </si>
  <si>
    <t>Niche premium +51% revenue/client; graduates -6.6% YoY; CPA capacity shortage</t>
  </si>
  <si>
    <t>aicpa.org</t>
  </si>
  <si>
    <t>Ignition 2025/26 Pricing Benchmark (n=219)</t>
  </si>
  <si>
    <t>Fixed-fee pricing bands; engagement-letter norms</t>
  </si>
  <si>
    <t>ignitionapp.com</t>
  </si>
  <si>
    <t>Robert Half 2026 Salary Guide (Dallas)</t>
  </si>
  <si>
    <t>Full-charge $71,820-94,050; accounting manager $110-145k; asst controller $107-162k (staffing-firm incentive flagged; BLS medians run lower)</t>
  </si>
  <si>
    <t>Directional-strong</t>
  </si>
  <si>
    <t>roberthalf.com</t>
  </si>
  <si>
    <t>Peak Business Valuation; Accounting Practice Sales</t>
  </si>
  <si>
    <t>Practice multiples ~1.04-1.17x revenue / 2.55-3.32x SDE; write-up books 0.7-1.0x</t>
  </si>
  <si>
    <t>peakbusinessvaluation.com; accountingpracticesales.com</t>
  </si>
  <si>
    <t>KFF; Texas Tribune; healthinsurance.org (2026 ACA)</t>
  </si>
  <si>
    <t>TX premiums +35%; benchmark ~$661/mo; subsidy cliff returned</t>
  </si>
  <si>
    <t>kff.org</t>
  </si>
  <si>
    <t>VA/CHAMPVA guides; Fidelity + IRA Financial (2026 solo 401k)</t>
  </si>
  <si>
    <t>CHAMPVA terms if P&amp;T; $24,500/$72,000 2026 limits, spouse eligibility</t>
  </si>
  <si>
    <t>va.gov; fidelity.com</t>
  </si>
  <si>
    <t>SmartFirm; Agiled (retention compilations)</t>
  </si>
  <si>
    <t>Small firms retain 60-70%; well-run 90-96% — basis for the honest 75-85% band</t>
  </si>
  <si>
    <t>Directional</t>
  </si>
  <si>
    <t>smartfirm.io; agiled.app</t>
  </si>
  <si>
    <t>Jetpack Workflow; ScribeOS</t>
  </si>
  <si>
    <t>Hours-per-client and clients-per-bookkeeper benchmarks</t>
  </si>
  <si>
    <t>jetpackworkflow.com</t>
  </si>
  <si>
    <t>Owner.com; LendingTree (BLS-derived)</t>
  </si>
  <si>
    <t>Restaurant ~49% five-year closure; all-business 48.6%</t>
  </si>
  <si>
    <t>owner.com; lendingtree.com</t>
  </si>
  <si>
    <t>CPA Trendlines (2009); Intuit practitioner survey (2020)</t>
  </si>
  <si>
    <t>Recession behavior: fees flat, not down; compliance chaos raised demand</t>
  </si>
  <si>
    <t>cpatrendlines.com</t>
  </si>
  <si>
    <t>Bench/Botkeeper collapse coverage; Intuit QuickBooks Live retirement</t>
  </si>
  <si>
    <t>Low-end structural failure; incumbent retreat</t>
  </si>
  <si>
    <t>Verified (multiple)</t>
  </si>
  <si>
    <t>court filings + trade press</t>
  </si>
  <si>
    <t>Texas SOS; SB 524 history (capitol.texas.gov)</t>
  </si>
  <si>
    <t>Veteran fee-waiver program lapsed Dec 2025; extension bill died in committee</t>
  </si>
  <si>
    <t>capitol.texas.gov</t>
  </si>
  <si>
    <t>Original Data &amp; Practitioner Sources (Anecdotal Labeled)</t>
  </si>
  <si>
    <t>LinkedIn postings audit, July 2026 (built for this plan)</t>
  </si>
  <si>
    <t>223 postings / 114 full descriptions: AIPB, NACPB, "Certified Bookkeeper" appear ZERO times; only ProAdvisor named (2%); QuickBooks 61%, Excel 54% of bookkeeper-titled roles</t>
  </si>
  <si>
    <t>Original data (single board, one point in time)</t>
  </si>
  <si>
    <t>Reproducible scripts archived</t>
  </si>
  <si>
    <t>Winnie Jayne (EA; ex-QuickBooks Live lead; 200+ cleanups)</t>
  </si>
  <si>
    <t>12-step cleanup order; "procedural, not technical" failure mode; cleanup 3-5x time multiplier (directionally corroborated)</t>
  </si>
  <si>
    <t>Practitioner-strong</t>
  </si>
  <si>
    <t>winniejayne.com</t>
  </si>
  <si>
    <t>AccountingCoach (Averkamp, CPA); AccountingTools</t>
  </si>
  <si>
    <t>Adjusting entries; payroll journal entries; cash↔accrual conversion mechanics; COA sizing</t>
  </si>
  <si>
    <t>Reference-grade</t>
  </si>
  <si>
    <t>accountingcoach.com; accountingtools.com</t>
  </si>
  <si>
    <t>BudgetEase; Out of the Box Technology</t>
  </si>
  <si>
    <t>Undeposited Funds failure mode; COA five failure patterns</t>
  </si>
  <si>
    <t>Practitioner</t>
  </si>
  <si>
    <t>budgetease.biz</t>
  </si>
  <si>
    <t>Practitioner forums (r/Bookkeeping, r/Accounting, Intuit Community)</t>
  </si>
  <si>
    <t>30-40 year veterans: "no one has ever asked for my credentials"; ProAdvisor-directory lead reports mixed; cleanup-is-hardest consensus; dissents reported in full</t>
  </si>
  <si>
    <t>Anecdotal (labeled; never load-bearing alone)</t>
  </si>
  <si>
    <t>Thread archives in research files</t>
  </si>
  <si>
    <t>DOJ press release (verified via Wayback)</t>
  </si>
  <si>
    <t>NACPB founder tax-evasion conviction — governance factor in skipping that credential</t>
  </si>
  <si>
    <t>justice.gov archive</t>
  </si>
  <si>
    <t>Known Limitations</t>
  </si>
  <si>
    <t>(1) Hours-per-client is triangulated from benchmarks, not measured — the model prices the pessimistic end. (2) No rigorous survey of solo-firm revenue exists; the ceiling is derived from hours × rates. (3) Retention compilations are of uneven quality; the model uses the conservative band. (4) The VetHUB program's emergency-rule legal posture is unsettled (moot for the chosen path). (5) The LinkedIn audit is one board at one point in time; it bounds credential demand at low-single-digits, it does not prove zero. (6) 2026 ACA and tax parameters should be re-verified at each annual tax planning session with the CPA.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</si>
</sst>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
    <numFmt numFmtId="165" formatCode="0.0%"/>
    <numFmt numFmtId="166" formatCode="#,##0.0"/>
  </numFmts>
  <fonts count="12">
    <font>
      <sz val="11.0"/>
      <color theme="1"/>
      <name val="Calibri"/>
      <scheme val="minor"/>
    </font>
    <font>
      <b/>
      <sz val="16.0"/>
      <color rgb="FFFFFFFF"/>
      <name val="Calibri"/>
    </font>
    <font/>
    <font>
      <i/>
      <sz val="10.0"/>
      <color rgb="FF7F7F7F"/>
      <name val="Calibri"/>
    </font>
    <font>
      <b/>
      <sz val="12.0"/>
      <color rgb="FF1F3864"/>
      <name val="Calibri"/>
    </font>
    <font>
      <sz val="10.0"/>
      <color rgb="FF000000"/>
      <name val="Calibri"/>
    </font>
    <font>
      <b/>
      <sz val="10.0"/>
      <color rgb="FFFFFFFF"/>
      <name val="Calibri"/>
    </font>
    <font>
      <i/>
      <sz val="8.0"/>
      <color rgb="FF7F7F7F"/>
      <name val="Calibri"/>
    </font>
    <font>
      <b/>
      <sz val="10.0"/>
      <color theme="1"/>
      <name val="Calibri"/>
    </font>
    <font>
      <b/>
      <sz val="10.0"/>
      <color rgb="FF1F3864"/>
      <name val="Calibri"/>
    </font>
    <font>
      <b/>
      <sz val="10.0"/>
      <color rgb="FF000000"/>
      <name val="Calibri"/>
    </font>
    <font>
      <sz val="10.0"/>
      <color theme="1"/>
      <name val="Calibri"/>
    </font>
  </fonts>
  <fills count="7">
    <fill>
      <patternFill patternType="none"/>
    </fill>
    <fill>
      <patternFill patternType="lightGray"/>
    </fill>
    <fill>
      <patternFill patternType="solid">
        <fgColor rgb="FF1F3864"/>
        <bgColor rgb="FF1F3864"/>
      </patternFill>
    </fill>
    <fill>
      <patternFill patternType="solid">
        <fgColor rgb="FFEDEDED"/>
        <bgColor rgb="FFEDEDED"/>
      </patternFill>
    </fill>
    <fill>
      <patternFill patternType="solid">
        <fgColor rgb="FF2E5596"/>
        <bgColor rgb="FF2E5596"/>
      </patternFill>
    </fill>
    <fill>
      <patternFill patternType="solid">
        <fgColor rgb="FFF7F7F7"/>
        <bgColor rgb="FFF7F7F7"/>
      </patternFill>
    </fill>
    <fill>
      <patternFill patternType="solid">
        <fgColor rgb="FFFFF2CC"/>
        <bgColor rgb="FFFFF2CC"/>
      </patternFill>
    </fill>
  </fills>
  <borders count="11">
    <border/>
    <border>
      <left/>
      <top/>
      <bottom/>
    </border>
    <border>
      <top/>
      <bottom/>
    </border>
    <border>
      <right/>
      <top/>
      <bottom/>
    </border>
    <border>
      <left/>
      <top/>
      <bottom style="medium">
        <color rgb="FF1F3864"/>
      </bottom>
    </border>
    <border>
      <top/>
      <bottom style="medium">
        <color rgb="FF1F3864"/>
      </bottom>
    </border>
    <border>
      <right/>
      <top/>
      <bottom style="medium">
        <color rgb="FF1F3864"/>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horizontal="left" vertical="center"/>
    </xf>
    <xf borderId="4" fillId="3" fontId="4" numFmtId="0" xfId="0" applyAlignment="1" applyBorder="1" applyFill="1" applyFont="1">
      <alignment horizontal="left" vertical="center"/>
    </xf>
    <xf borderId="5" fillId="0" fontId="2" numFmtId="0" xfId="0" applyBorder="1" applyFont="1"/>
    <xf borderId="6" fillId="0" fontId="2" numFmtId="0" xfId="0" applyBorder="1" applyFont="1"/>
    <xf borderId="0" fillId="0" fontId="5" numFmtId="0" xfId="0" applyAlignment="1" applyFont="1">
      <alignment horizontal="left" shrinkToFit="0" vertical="top" wrapText="1"/>
    </xf>
    <xf borderId="7" fillId="4" fontId="6" numFmtId="0" xfId="0" applyAlignment="1" applyBorder="1" applyFill="1" applyFont="1">
      <alignment horizontal="left" shrinkToFit="0" vertical="center" wrapText="1"/>
    </xf>
    <xf borderId="7" fillId="4" fontId="6" numFmtId="0" xfId="0" applyAlignment="1" applyBorder="1" applyFont="1">
      <alignment horizontal="center" shrinkToFit="0" vertical="center" wrapText="1"/>
    </xf>
    <xf borderId="7" fillId="0" fontId="5" numFmtId="0" xfId="0" applyAlignment="1" applyBorder="1" applyFont="1">
      <alignment horizontal="left" shrinkToFit="0" vertical="top" wrapText="1"/>
    </xf>
    <xf borderId="7" fillId="0" fontId="5" numFmtId="0" xfId="0" applyAlignment="1" applyBorder="1" applyFont="1">
      <alignment horizontal="center" shrinkToFit="0" vertical="top" wrapText="1"/>
    </xf>
    <xf borderId="8" fillId="0" fontId="5" numFmtId="0" xfId="0" applyAlignment="1" applyBorder="1" applyFont="1">
      <alignment horizontal="center" shrinkToFit="0" vertical="top" wrapText="1"/>
    </xf>
    <xf borderId="9" fillId="0" fontId="2" numFmtId="0" xfId="0" applyBorder="1" applyFont="1"/>
    <xf borderId="7" fillId="5" fontId="5" numFmtId="0" xfId="0" applyAlignment="1" applyBorder="1" applyFill="1" applyFont="1">
      <alignment horizontal="left" shrinkToFit="0" vertical="top" wrapText="1"/>
    </xf>
    <xf borderId="10" fillId="0" fontId="2" numFmtId="0" xfId="0" applyBorder="1" applyFont="1"/>
    <xf borderId="7" fillId="5" fontId="5" numFmtId="0" xfId="0" applyAlignment="1" applyBorder="1" applyFont="1">
      <alignment horizontal="center" shrinkToFit="0" vertical="top" wrapText="1"/>
    </xf>
    <xf borderId="8" fillId="5" fontId="5" numFmtId="0" xfId="0" applyAlignment="1" applyBorder="1" applyFont="1">
      <alignment horizontal="center" shrinkToFit="0" vertical="top" wrapText="1"/>
    </xf>
    <xf borderId="0" fillId="0" fontId="7" numFmtId="0" xfId="0" applyAlignment="1" applyFont="1">
      <alignment horizontal="left" shrinkToFit="0" vertical="top" wrapText="1"/>
    </xf>
    <xf borderId="7" fillId="6" fontId="8" numFmtId="164" xfId="0" applyAlignment="1" applyBorder="1" applyFill="1" applyFont="1" applyNumberFormat="1">
      <alignment horizontal="center" shrinkToFit="0" vertical="top" wrapText="1"/>
    </xf>
    <xf borderId="7" fillId="6" fontId="8" numFmtId="0" xfId="0" applyAlignment="1" applyBorder="1" applyFont="1">
      <alignment horizontal="center" shrinkToFit="0" vertical="top" wrapText="1"/>
    </xf>
    <xf borderId="7" fillId="6" fontId="8" numFmtId="9" xfId="0" applyAlignment="1" applyBorder="1" applyFont="1" applyNumberFormat="1">
      <alignment horizontal="center" shrinkToFit="0" vertical="top" wrapText="1"/>
    </xf>
    <xf borderId="7" fillId="5" fontId="9" numFmtId="164" xfId="0" applyAlignment="1" applyBorder="1" applyFont="1" applyNumberFormat="1">
      <alignment horizontal="center" shrinkToFit="0" vertical="top" wrapText="1"/>
    </xf>
    <xf borderId="7" fillId="0" fontId="10" numFmtId="0" xfId="0" applyAlignment="1" applyBorder="1" applyFont="1">
      <alignment horizontal="left" shrinkToFit="0" vertical="top" wrapText="1"/>
    </xf>
    <xf borderId="7" fillId="0" fontId="10" numFmtId="0" xfId="0" applyAlignment="1" applyBorder="1" applyFont="1">
      <alignment horizontal="center" shrinkToFit="0" vertical="top" wrapText="1"/>
    </xf>
    <xf borderId="7" fillId="6" fontId="8" numFmtId="165" xfId="0" applyAlignment="1" applyBorder="1" applyFont="1" applyNumberFormat="1">
      <alignment horizontal="center" shrinkToFit="0" vertical="top" wrapText="1"/>
    </xf>
    <xf borderId="7" fillId="5" fontId="9" numFmtId="165" xfId="0" applyAlignment="1" applyBorder="1" applyFont="1" applyNumberFormat="1">
      <alignment horizontal="center" shrinkToFit="0" vertical="top" wrapText="1"/>
    </xf>
    <xf borderId="7" fillId="0" fontId="11" numFmtId="0" xfId="0" applyAlignment="1" applyBorder="1" applyFont="1">
      <alignment horizontal="center"/>
    </xf>
    <xf borderId="7" fillId="5" fontId="9" numFmtId="0" xfId="0" applyAlignment="1" applyBorder="1" applyFont="1">
      <alignment horizontal="center" shrinkToFit="0" vertical="top" wrapText="1"/>
    </xf>
    <xf borderId="7" fillId="0" fontId="11" numFmtId="164" xfId="0" applyAlignment="1" applyBorder="1" applyFont="1" applyNumberFormat="1">
      <alignment horizontal="center"/>
    </xf>
    <xf borderId="7" fillId="5" fontId="9" numFmtId="3" xfId="0" applyAlignment="1" applyBorder="1" applyFont="1" applyNumberFormat="1">
      <alignment horizontal="center" shrinkToFit="0" vertical="top" wrapText="1"/>
    </xf>
    <xf borderId="7" fillId="5" fontId="11" numFmtId="0" xfId="0" applyAlignment="1" applyBorder="1" applyFont="1">
      <alignment horizontal="center"/>
    </xf>
    <xf borderId="7" fillId="5" fontId="11" numFmtId="164" xfId="0" applyAlignment="1" applyBorder="1" applyFont="1" applyNumberFormat="1">
      <alignment horizontal="center"/>
    </xf>
    <xf borderId="7" fillId="5" fontId="9" numFmtId="166" xfId="0" applyAlignment="1" applyBorder="1" applyFont="1" applyNumberFormat="1">
      <alignment horizontal="center" shrinkToFit="0" vertical="top" wrapText="1"/>
    </xf>
    <xf borderId="8" fillId="0" fontId="5" numFmtId="0" xfId="0" applyAlignment="1" applyBorder="1" applyFont="1">
      <alignment horizontal="left" shrinkToFit="0" vertical="top" wrapText="1"/>
    </xf>
    <xf borderId="8" fillId="5" fontId="5" numFmtId="0" xfId="0" applyAlignment="1" applyBorder="1" applyFont="1">
      <alignment horizontal="left" shrinkToFit="0" vertical="top" wrapText="1"/>
    </xf>
    <xf borderId="7" fillId="3" fontId="10" numFmtId="0" xfId="0" applyAlignment="1" applyBorder="1" applyFont="1">
      <alignment horizontal="left" shrinkToFit="0" vertical="top" wrapText="1"/>
    </xf>
    <xf borderId="7" fillId="3" fontId="8" numFmtId="3" xfId="0" applyAlignment="1" applyBorder="1" applyFont="1" applyNumberFormat="1">
      <alignment horizontal="center"/>
    </xf>
    <xf borderId="7" fillId="3" fontId="10" numFmtId="0" xfId="0" applyAlignment="1" applyBorder="1" applyFont="1">
      <alignment horizontal="center" shrinkToFit="0" vertical="top" wrapText="1"/>
    </xf>
    <xf borderId="7" fillId="3" fontId="8" numFmtId="164" xfId="0" applyAlignment="1" applyBorder="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1" width="28.0"/>
    <col customWidth="1" min="2" max="6" width="22.0"/>
    <col customWidth="1" min="7" max="26" width="8.71"/>
  </cols>
  <sheetData>
    <row r="1" ht="30.0" customHeight="1">
      <c r="A1" s="1" t="s">
        <v>1</v>
      </c>
      <c r="B1" s="2"/>
      <c r="C1" s="2"/>
      <c r="D1" s="2"/>
      <c r="E1" s="2"/>
      <c r="F1" s="3"/>
    </row>
    <row r="2" ht="15.75" customHeight="1">
      <c r="A2" s="4" t="s">
        <v>6</v>
      </c>
    </row>
    <row r="4" ht="21.75" customHeight="1">
      <c r="A4" s="5" t="s">
        <v>10</v>
      </c>
      <c r="B4" s="6"/>
      <c r="C4" s="6"/>
      <c r="D4" s="6"/>
      <c r="E4" s="6"/>
      <c r="F4" s="7"/>
    </row>
    <row r="5" ht="108.0" customHeight="1">
      <c r="A5" s="8" t="s">
        <v>12</v>
      </c>
    </row>
    <row r="6" ht="7.5" customHeight="1"/>
    <row r="7" ht="21.75" customHeight="1">
      <c r="A7" s="5" t="s">
        <v>16</v>
      </c>
      <c r="B7" s="6"/>
      <c r="C7" s="6"/>
      <c r="D7" s="6"/>
      <c r="E7" s="6"/>
      <c r="F7" s="7"/>
    </row>
    <row r="8" ht="19.5" customHeight="1">
      <c r="A8" s="9" t="s">
        <v>20</v>
      </c>
      <c r="B8" s="10" t="s">
        <v>18</v>
      </c>
      <c r="C8" s="10" t="s">
        <v>25</v>
      </c>
      <c r="D8" s="10" t="s">
        <v>28</v>
      </c>
      <c r="E8" s="10" t="s">
        <v>25</v>
      </c>
      <c r="F8" s="10" t="s">
        <v>25</v>
      </c>
    </row>
    <row r="9">
      <c r="A9" s="11" t="s">
        <v>30</v>
      </c>
      <c r="B9" s="13" t="s">
        <v>33</v>
      </c>
      <c r="C9" s="14"/>
      <c r="D9" s="13" t="s">
        <v>41</v>
      </c>
      <c r="E9" s="16"/>
      <c r="F9" s="14"/>
    </row>
    <row r="10">
      <c r="A10" s="15" t="s">
        <v>47</v>
      </c>
      <c r="B10" s="18" t="s">
        <v>48</v>
      </c>
      <c r="C10" s="14"/>
      <c r="D10" s="18" t="s">
        <v>55</v>
      </c>
      <c r="E10" s="16"/>
      <c r="F10" s="14"/>
    </row>
    <row r="11">
      <c r="A11" s="11" t="s">
        <v>60</v>
      </c>
      <c r="B11" s="13" t="s">
        <v>62</v>
      </c>
      <c r="C11" s="14"/>
      <c r="D11" s="13" t="s">
        <v>68</v>
      </c>
      <c r="E11" s="16"/>
      <c r="F11" s="14"/>
    </row>
    <row r="12">
      <c r="A12" s="15" t="s">
        <v>72</v>
      </c>
      <c r="B12" s="18" t="s">
        <v>75</v>
      </c>
      <c r="C12" s="14"/>
      <c r="D12" s="18" t="s">
        <v>81</v>
      </c>
      <c r="E12" s="16"/>
      <c r="F12" s="14"/>
    </row>
    <row r="13">
      <c r="A13" s="11" t="s">
        <v>87</v>
      </c>
      <c r="B13" s="13" t="s">
        <v>90</v>
      </c>
      <c r="C13" s="14"/>
      <c r="D13" s="13" t="s">
        <v>95</v>
      </c>
      <c r="E13" s="16"/>
      <c r="F13" s="14"/>
    </row>
    <row r="14" ht="7.5" customHeight="1"/>
    <row r="15" ht="21.75" customHeight="1">
      <c r="A15" s="5" t="s">
        <v>101</v>
      </c>
      <c r="B15" s="6"/>
      <c r="C15" s="6"/>
      <c r="D15" s="6"/>
      <c r="E15" s="6"/>
      <c r="F15" s="7"/>
    </row>
    <row r="16" ht="19.5" customHeight="1">
      <c r="A16" s="9" t="s">
        <v>108</v>
      </c>
      <c r="B16" s="10" t="s">
        <v>111</v>
      </c>
      <c r="C16" s="10" t="s">
        <v>114</v>
      </c>
      <c r="D16" s="10" t="s">
        <v>118</v>
      </c>
      <c r="E16" s="10" t="s">
        <v>121</v>
      </c>
      <c r="F16" s="10" t="s">
        <v>124</v>
      </c>
    </row>
    <row r="17">
      <c r="A17" s="11" t="s">
        <v>130</v>
      </c>
      <c r="B17" s="12">
        <v>1.0</v>
      </c>
      <c r="C17" s="12" t="s">
        <v>135</v>
      </c>
      <c r="D17" s="12" t="s">
        <v>138</v>
      </c>
      <c r="E17" s="12" t="s">
        <v>142</v>
      </c>
      <c r="F17" s="12" t="s">
        <v>145</v>
      </c>
    </row>
    <row r="18">
      <c r="A18" s="15" t="s">
        <v>150</v>
      </c>
      <c r="B18" s="17">
        <v>9.0</v>
      </c>
      <c r="C18" s="17" t="s">
        <v>155</v>
      </c>
      <c r="D18" s="17" t="s">
        <v>160</v>
      </c>
      <c r="E18" s="17" t="s">
        <v>161</v>
      </c>
      <c r="F18" s="17" t="s">
        <v>164</v>
      </c>
    </row>
    <row r="19">
      <c r="A19" s="11" t="s">
        <v>166</v>
      </c>
      <c r="B19" s="12">
        <v>15.0</v>
      </c>
      <c r="C19" s="12" t="s">
        <v>169</v>
      </c>
      <c r="D19" s="12" t="s">
        <v>173</v>
      </c>
      <c r="E19" s="12" t="s">
        <v>174</v>
      </c>
      <c r="F19" s="12" t="s">
        <v>177</v>
      </c>
    </row>
    <row r="20">
      <c r="A20" s="15" t="s">
        <v>178</v>
      </c>
      <c r="B20" s="17" t="s">
        <v>180</v>
      </c>
      <c r="C20" s="17" t="s">
        <v>183</v>
      </c>
      <c r="D20" s="17" t="s">
        <v>173</v>
      </c>
      <c r="E20" s="17" t="s">
        <v>188</v>
      </c>
      <c r="F20" s="17" t="s">
        <v>191</v>
      </c>
    </row>
    <row r="21" ht="103.5" customHeight="1">
      <c r="A21" s="8" t="s">
        <v>195</v>
      </c>
    </row>
    <row r="22" ht="7.5" customHeight="1"/>
    <row r="23" ht="21.75" customHeight="1">
      <c r="A23" s="5" t="s">
        <v>200</v>
      </c>
      <c r="B23" s="6"/>
      <c r="C23" s="6"/>
      <c r="D23" s="6"/>
      <c r="E23" s="6"/>
      <c r="F23" s="7"/>
    </row>
    <row r="24" ht="15.75" customHeight="1">
      <c r="A24" s="11" t="s">
        <v>207</v>
      </c>
      <c r="B24" s="13" t="s">
        <v>210</v>
      </c>
      <c r="C24" s="16"/>
      <c r="D24" s="16"/>
      <c r="E24" s="16"/>
      <c r="F24" s="14"/>
    </row>
    <row r="25" ht="15.75" customHeight="1">
      <c r="A25" s="15" t="s">
        <v>215</v>
      </c>
      <c r="B25" s="18" t="s">
        <v>218</v>
      </c>
      <c r="C25" s="16"/>
      <c r="D25" s="16"/>
      <c r="E25" s="16"/>
      <c r="F25" s="14"/>
    </row>
    <row r="26" ht="15.75" customHeight="1">
      <c r="A26" s="11" t="s">
        <v>224</v>
      </c>
      <c r="B26" s="13" t="s">
        <v>228</v>
      </c>
      <c r="C26" s="16"/>
      <c r="D26" s="16"/>
      <c r="E26" s="16"/>
      <c r="F26" s="14"/>
    </row>
    <row r="27" ht="15.75" customHeight="1">
      <c r="A27" s="15" t="s">
        <v>233</v>
      </c>
      <c r="B27" s="18" t="s">
        <v>236</v>
      </c>
      <c r="C27" s="16"/>
      <c r="D27" s="16"/>
      <c r="E27" s="16"/>
      <c r="F27" s="14"/>
    </row>
    <row r="28" ht="15.75" customHeight="1">
      <c r="A28" s="11" t="s">
        <v>243</v>
      </c>
      <c r="B28" s="13" t="s">
        <v>244</v>
      </c>
      <c r="C28" s="16"/>
      <c r="D28" s="16"/>
      <c r="E28" s="16"/>
      <c r="F28" s="14"/>
    </row>
    <row r="29" ht="7.5" customHeight="1"/>
    <row r="30" ht="21.75" customHeight="1">
      <c r="A30" s="5" t="s">
        <v>248</v>
      </c>
      <c r="B30" s="6"/>
      <c r="C30" s="6"/>
      <c r="D30" s="6"/>
      <c r="E30" s="6"/>
      <c r="F30" s="7"/>
    </row>
    <row r="31" ht="55.5" customHeight="1">
      <c r="A31" s="8" t="s">
        <v>254</v>
      </c>
    </row>
    <row r="32" ht="7.5" customHeight="1"/>
    <row r="33" ht="13.5" customHeight="1">
      <c r="A33" s="19" t="s">
        <v>256</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A1:F1"/>
    <mergeCell ref="A2:F2"/>
    <mergeCell ref="A4:F4"/>
    <mergeCell ref="A5:F5"/>
    <mergeCell ref="A7:F7"/>
    <mergeCell ref="B9:C9"/>
    <mergeCell ref="D9:F9"/>
    <mergeCell ref="B10:C10"/>
    <mergeCell ref="D10:F10"/>
    <mergeCell ref="B11:C11"/>
    <mergeCell ref="D11:F11"/>
    <mergeCell ref="B12:C12"/>
    <mergeCell ref="D12:F12"/>
    <mergeCell ref="B13:C13"/>
    <mergeCell ref="B27:F27"/>
    <mergeCell ref="B28:F28"/>
    <mergeCell ref="A30:F30"/>
    <mergeCell ref="A31:F31"/>
    <mergeCell ref="A33:F33"/>
    <mergeCell ref="D13:F13"/>
    <mergeCell ref="A15:F15"/>
    <mergeCell ref="A21:F21"/>
    <mergeCell ref="A23:F23"/>
    <mergeCell ref="B24:F24"/>
    <mergeCell ref="B25:F25"/>
    <mergeCell ref="B26:F2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4.43" defaultRowHeight="15.0"/>
  <cols>
    <col customWidth="1" min="1" max="2" width="30.0"/>
    <col customWidth="1" min="3" max="3" width="44.0"/>
    <col customWidth="1" min="4" max="4" width="28.0"/>
    <col customWidth="1" min="5" max="26" width="8.71"/>
  </cols>
  <sheetData>
    <row r="1" ht="30.0" customHeight="1">
      <c r="A1" s="1" t="s">
        <v>2</v>
      </c>
      <c r="B1" s="2"/>
      <c r="C1" s="2"/>
      <c r="D1" s="3"/>
    </row>
    <row r="2" ht="15.75" customHeight="1">
      <c r="A2" s="4" t="s">
        <v>4</v>
      </c>
    </row>
    <row r="4" ht="21.75" customHeight="1">
      <c r="A4" s="5" t="s">
        <v>8</v>
      </c>
      <c r="B4" s="6"/>
      <c r="C4" s="6"/>
      <c r="D4" s="7"/>
    </row>
    <row r="5" ht="19.5" customHeight="1">
      <c r="A5" s="9" t="s">
        <v>13</v>
      </c>
      <c r="B5" s="10" t="s">
        <v>17</v>
      </c>
      <c r="C5" s="10" t="s">
        <v>21</v>
      </c>
      <c r="D5" s="10" t="s">
        <v>24</v>
      </c>
    </row>
    <row r="6">
      <c r="A6" s="11" t="s">
        <v>29</v>
      </c>
      <c r="B6" s="12" t="s">
        <v>31</v>
      </c>
      <c r="C6" s="12" t="s">
        <v>35</v>
      </c>
      <c r="D6" s="12" t="s">
        <v>37</v>
      </c>
    </row>
    <row r="7">
      <c r="A7" s="15" t="s">
        <v>40</v>
      </c>
      <c r="B7" s="17" t="s">
        <v>44</v>
      </c>
      <c r="C7" s="17" t="s">
        <v>49</v>
      </c>
      <c r="D7" s="17" t="s">
        <v>52</v>
      </c>
    </row>
    <row r="8">
      <c r="A8" s="11" t="s">
        <v>56</v>
      </c>
      <c r="B8" s="12" t="s">
        <v>31</v>
      </c>
      <c r="C8" s="12" t="s">
        <v>61</v>
      </c>
      <c r="D8" s="12" t="s">
        <v>64</v>
      </c>
    </row>
    <row r="9">
      <c r="A9" s="15" t="s">
        <v>67</v>
      </c>
      <c r="B9" s="17" t="s">
        <v>31</v>
      </c>
      <c r="C9" s="17" t="s">
        <v>73</v>
      </c>
      <c r="D9" s="17" t="s">
        <v>37</v>
      </c>
    </row>
    <row r="10">
      <c r="A10" s="11" t="s">
        <v>78</v>
      </c>
      <c r="B10" s="12" t="s">
        <v>82</v>
      </c>
      <c r="C10" s="12" t="s">
        <v>83</v>
      </c>
      <c r="D10" s="12" t="s">
        <v>85</v>
      </c>
    </row>
    <row r="11">
      <c r="A11" s="15" t="s">
        <v>91</v>
      </c>
      <c r="B11" s="17" t="s">
        <v>93</v>
      </c>
      <c r="C11" s="17" t="s">
        <v>96</v>
      </c>
      <c r="D11" s="17" t="s">
        <v>98</v>
      </c>
    </row>
    <row r="12" ht="7.5" customHeight="1"/>
    <row r="13" ht="21.75" customHeight="1">
      <c r="A13" s="5" t="s">
        <v>103</v>
      </c>
      <c r="B13" s="6"/>
      <c r="C13" s="6"/>
      <c r="D13" s="7"/>
    </row>
    <row r="14" ht="55.5" customHeight="1">
      <c r="A14" s="8" t="s">
        <v>117</v>
      </c>
    </row>
    <row r="15" ht="19.5" customHeight="1">
      <c r="A15" s="9" t="s">
        <v>122</v>
      </c>
      <c r="B15" s="10" t="s">
        <v>126</v>
      </c>
      <c r="C15" s="10" t="s">
        <v>129</v>
      </c>
      <c r="D15" s="10" t="s">
        <v>132</v>
      </c>
    </row>
    <row r="16">
      <c r="A16" s="11" t="s">
        <v>134</v>
      </c>
      <c r="B16" s="12" t="s">
        <v>137</v>
      </c>
      <c r="C16" s="12" t="s">
        <v>140</v>
      </c>
      <c r="D16" s="12" t="s">
        <v>144</v>
      </c>
    </row>
    <row r="17">
      <c r="A17" s="15" t="s">
        <v>149</v>
      </c>
      <c r="B17" s="17" t="s">
        <v>153</v>
      </c>
      <c r="C17" s="17" t="s">
        <v>156</v>
      </c>
      <c r="D17" s="17" t="s">
        <v>159</v>
      </c>
    </row>
    <row r="18">
      <c r="A18" s="11" t="s">
        <v>162</v>
      </c>
      <c r="B18" s="12" t="s">
        <v>153</v>
      </c>
      <c r="C18" s="12" t="s">
        <v>168</v>
      </c>
      <c r="D18" s="12" t="s">
        <v>170</v>
      </c>
    </row>
    <row r="19">
      <c r="A19" s="15" t="s">
        <v>176</v>
      </c>
      <c r="B19" s="17" t="s">
        <v>153</v>
      </c>
      <c r="C19" s="17" t="s">
        <v>182</v>
      </c>
      <c r="D19" s="17" t="s">
        <v>185</v>
      </c>
    </row>
    <row r="20">
      <c r="A20" s="11" t="s">
        <v>190</v>
      </c>
      <c r="B20" s="12" t="s">
        <v>194</v>
      </c>
      <c r="C20" s="12" t="s">
        <v>198</v>
      </c>
      <c r="D20" s="12" t="s">
        <v>202</v>
      </c>
    </row>
    <row r="21" ht="7.5" customHeight="1"/>
    <row r="22" ht="21.75" customHeight="1">
      <c r="A22" s="5" t="s">
        <v>208</v>
      </c>
      <c r="B22" s="6"/>
      <c r="C22" s="6"/>
      <c r="D22" s="7"/>
    </row>
    <row r="23" ht="90.0" customHeight="1">
      <c r="A23" s="8" t="s">
        <v>220</v>
      </c>
    </row>
    <row r="24" ht="7.5" customHeight="1"/>
    <row r="25" ht="21.75" customHeight="1">
      <c r="A25" s="5" t="s">
        <v>226</v>
      </c>
      <c r="B25" s="6"/>
      <c r="C25" s="6"/>
      <c r="D25" s="7"/>
    </row>
    <row r="26" ht="19.5" customHeight="1">
      <c r="A26" s="9" t="s">
        <v>234</v>
      </c>
      <c r="B26" s="10" t="s">
        <v>238</v>
      </c>
      <c r="C26" s="10" t="s">
        <v>241</v>
      </c>
      <c r="D26" s="10" t="s">
        <v>245</v>
      </c>
    </row>
    <row r="27" ht="15.75" customHeight="1">
      <c r="A27" s="11" t="s">
        <v>247</v>
      </c>
      <c r="B27" s="12" t="s">
        <v>249</v>
      </c>
      <c r="C27" s="12" t="s">
        <v>250</v>
      </c>
      <c r="D27" s="12" t="s">
        <v>251</v>
      </c>
    </row>
    <row r="28" ht="15.75" customHeight="1">
      <c r="A28" s="15" t="s">
        <v>252</v>
      </c>
      <c r="B28" s="17" t="s">
        <v>255</v>
      </c>
      <c r="C28" s="17" t="s">
        <v>250</v>
      </c>
      <c r="D28" s="17" t="s">
        <v>259</v>
      </c>
    </row>
    <row r="29" ht="15.75" customHeight="1">
      <c r="A29" s="11" t="s">
        <v>260</v>
      </c>
      <c r="B29" s="12" t="s">
        <v>262</v>
      </c>
      <c r="C29" s="12" t="s">
        <v>250</v>
      </c>
      <c r="D29" s="12" t="s">
        <v>264</v>
      </c>
    </row>
    <row r="30" ht="15.75" customHeight="1">
      <c r="A30" s="15" t="s">
        <v>267</v>
      </c>
      <c r="B30" s="17" t="s">
        <v>268</v>
      </c>
      <c r="C30" s="17" t="s">
        <v>270</v>
      </c>
      <c r="D30" s="17" t="s">
        <v>272</v>
      </c>
    </row>
    <row r="31" ht="15.75" customHeight="1">
      <c r="A31" s="11" t="s">
        <v>274</v>
      </c>
      <c r="B31" s="12" t="s">
        <v>276</v>
      </c>
      <c r="C31" s="12" t="s">
        <v>250</v>
      </c>
      <c r="D31" s="12" t="s">
        <v>278</v>
      </c>
    </row>
    <row r="32" ht="15.75" customHeight="1">
      <c r="A32" s="15" t="s">
        <v>280</v>
      </c>
      <c r="B32" s="17" t="s">
        <v>282</v>
      </c>
      <c r="C32" s="17" t="s">
        <v>250</v>
      </c>
      <c r="D32" s="17" t="s">
        <v>284</v>
      </c>
    </row>
    <row r="33" ht="15.75" customHeight="1">
      <c r="A33" s="11" t="s">
        <v>286</v>
      </c>
      <c r="B33" s="12" t="s">
        <v>288</v>
      </c>
      <c r="C33" s="12" t="s">
        <v>289</v>
      </c>
      <c r="D33" s="12" t="s">
        <v>291</v>
      </c>
    </row>
    <row r="34" ht="15.75" customHeight="1">
      <c r="A34" s="15" t="s">
        <v>293</v>
      </c>
      <c r="B34" s="17" t="s">
        <v>294</v>
      </c>
      <c r="C34" s="17" t="s">
        <v>250</v>
      </c>
      <c r="D34" s="17" t="s">
        <v>296</v>
      </c>
    </row>
    <row r="35" ht="15.75" customHeight="1">
      <c r="A35" s="11" t="s">
        <v>297</v>
      </c>
      <c r="B35" s="12" t="s">
        <v>298</v>
      </c>
      <c r="C35" s="12" t="s">
        <v>250</v>
      </c>
      <c r="D35" s="12" t="s">
        <v>299</v>
      </c>
    </row>
    <row r="36" ht="7.5" customHeight="1"/>
    <row r="37" ht="13.5" customHeight="1">
      <c r="A37" s="19" t="s">
        <v>301</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5:D25"/>
    <mergeCell ref="A37:D37"/>
    <mergeCell ref="A1:D1"/>
    <mergeCell ref="A2:D2"/>
    <mergeCell ref="A4:D4"/>
    <mergeCell ref="A13:D13"/>
    <mergeCell ref="A14:D14"/>
    <mergeCell ref="A22:D22"/>
    <mergeCell ref="A23:D2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596"/>
    <pageSetUpPr/>
  </sheetPr>
  <sheetViews>
    <sheetView workbookViewId="0"/>
  </sheetViews>
  <sheetFormatPr customHeight="1" defaultColWidth="14.43" defaultRowHeight="15.0"/>
  <cols>
    <col customWidth="1" min="1" max="1" width="30.0"/>
    <col customWidth="1" min="2" max="2" width="26.0"/>
    <col customWidth="1" min="3" max="3" width="46.0"/>
    <col customWidth="1" min="4" max="4" width="30.0"/>
    <col customWidth="1" min="5" max="26" width="8.71"/>
  </cols>
  <sheetData>
    <row r="1" ht="30.0" customHeight="1">
      <c r="A1" s="1" t="s">
        <v>0</v>
      </c>
      <c r="B1" s="2"/>
      <c r="C1" s="2"/>
      <c r="D1" s="3"/>
    </row>
    <row r="2" ht="15.75" customHeight="1">
      <c r="A2" s="4" t="s">
        <v>5</v>
      </c>
    </row>
    <row r="4" ht="21.75" customHeight="1">
      <c r="A4" s="5" t="s">
        <v>9</v>
      </c>
      <c r="B4" s="6"/>
      <c r="C4" s="6"/>
      <c r="D4" s="7"/>
    </row>
    <row r="5" ht="19.5" customHeight="1">
      <c r="A5" s="9" t="s">
        <v>14</v>
      </c>
      <c r="B5" s="10" t="s">
        <v>18</v>
      </c>
      <c r="C5" s="10" t="s">
        <v>22</v>
      </c>
      <c r="D5" s="10" t="s">
        <v>26</v>
      </c>
    </row>
    <row r="6">
      <c r="A6" s="11" t="s">
        <v>30</v>
      </c>
      <c r="B6" s="12" t="s">
        <v>33</v>
      </c>
      <c r="C6" s="12" t="s">
        <v>36</v>
      </c>
      <c r="D6" s="12" t="s">
        <v>39</v>
      </c>
    </row>
    <row r="7">
      <c r="A7" s="15" t="s">
        <v>43</v>
      </c>
      <c r="B7" s="17" t="s">
        <v>45</v>
      </c>
      <c r="C7" s="17" t="s">
        <v>50</v>
      </c>
      <c r="D7" s="17" t="s">
        <v>53</v>
      </c>
    </row>
    <row r="8">
      <c r="A8" s="11" t="s">
        <v>57</v>
      </c>
      <c r="B8" s="12" t="s">
        <v>59</v>
      </c>
      <c r="C8" s="12" t="s">
        <v>65</v>
      </c>
      <c r="D8" s="12" t="s">
        <v>69</v>
      </c>
    </row>
    <row r="9">
      <c r="A9" s="15" t="s">
        <v>71</v>
      </c>
      <c r="B9" s="17" t="s">
        <v>74</v>
      </c>
      <c r="C9" s="17" t="s">
        <v>77</v>
      </c>
      <c r="D9" s="17" t="s">
        <v>79</v>
      </c>
    </row>
    <row r="10">
      <c r="A10" s="11" t="s">
        <v>47</v>
      </c>
      <c r="B10" s="12" t="s">
        <v>48</v>
      </c>
      <c r="C10" s="12" t="s">
        <v>86</v>
      </c>
      <c r="D10" s="12" t="s">
        <v>89</v>
      </c>
    </row>
    <row r="11" ht="7.5" customHeight="1"/>
    <row r="12" ht="21.75" customHeight="1">
      <c r="A12" s="5" t="s">
        <v>94</v>
      </c>
      <c r="B12" s="6"/>
      <c r="C12" s="6"/>
      <c r="D12" s="7"/>
    </row>
    <row r="13" ht="19.5" customHeight="1">
      <c r="A13" s="9" t="s">
        <v>100</v>
      </c>
      <c r="B13" s="10" t="s">
        <v>102</v>
      </c>
      <c r="C13" s="10" t="s">
        <v>105</v>
      </c>
      <c r="D13" s="10" t="s">
        <v>106</v>
      </c>
    </row>
    <row r="14">
      <c r="A14" s="11" t="s">
        <v>110</v>
      </c>
      <c r="B14" s="12" t="s">
        <v>113</v>
      </c>
      <c r="C14" s="12" t="s">
        <v>115</v>
      </c>
      <c r="D14" s="12" t="s">
        <v>119</v>
      </c>
    </row>
    <row r="15">
      <c r="A15" s="15" t="s">
        <v>123</v>
      </c>
      <c r="B15" s="17" t="s">
        <v>125</v>
      </c>
      <c r="C15" s="17" t="s">
        <v>128</v>
      </c>
      <c r="D15" s="17" t="s">
        <v>131</v>
      </c>
    </row>
    <row r="16">
      <c r="A16" s="11" t="s">
        <v>133</v>
      </c>
      <c r="B16" s="12" t="s">
        <v>136</v>
      </c>
      <c r="C16" s="12" t="s">
        <v>139</v>
      </c>
      <c r="D16" s="12" t="s">
        <v>143</v>
      </c>
    </row>
    <row r="17">
      <c r="A17" s="15" t="s">
        <v>146</v>
      </c>
      <c r="B17" s="17" t="s">
        <v>148</v>
      </c>
      <c r="C17" s="17" t="s">
        <v>151</v>
      </c>
      <c r="D17" s="17" t="s">
        <v>154</v>
      </c>
    </row>
    <row r="18" ht="7.5" customHeight="1"/>
    <row r="19" ht="21.75" customHeight="1">
      <c r="A19" s="5" t="s">
        <v>158</v>
      </c>
      <c r="B19" s="6"/>
      <c r="C19" s="6"/>
      <c r="D19" s="7"/>
    </row>
    <row r="20" ht="103.5" customHeight="1">
      <c r="A20" s="8" t="s">
        <v>167</v>
      </c>
    </row>
    <row r="21" ht="7.5" customHeight="1"/>
    <row r="22" ht="21.75" customHeight="1">
      <c r="A22" s="5" t="s">
        <v>172</v>
      </c>
      <c r="B22" s="6"/>
      <c r="C22" s="6"/>
      <c r="D22" s="7"/>
    </row>
    <row r="23" ht="19.5" customHeight="1">
      <c r="A23" s="9" t="s">
        <v>179</v>
      </c>
      <c r="B23" s="10" t="s">
        <v>184</v>
      </c>
      <c r="C23" s="10" t="s">
        <v>186</v>
      </c>
      <c r="D23" s="10" t="s">
        <v>189</v>
      </c>
    </row>
    <row r="24" ht="15.75" customHeight="1">
      <c r="A24" s="11" t="s">
        <v>193</v>
      </c>
      <c r="B24" s="12" t="s">
        <v>196</v>
      </c>
      <c r="C24" s="12" t="s">
        <v>199</v>
      </c>
      <c r="D24" s="12" t="s">
        <v>201</v>
      </c>
    </row>
    <row r="25" ht="15.75" customHeight="1">
      <c r="A25" s="15" t="s">
        <v>204</v>
      </c>
      <c r="B25" s="17" t="s">
        <v>205</v>
      </c>
      <c r="C25" s="17" t="s">
        <v>209</v>
      </c>
      <c r="D25" s="17" t="s">
        <v>212</v>
      </c>
    </row>
    <row r="26" ht="15.75" customHeight="1">
      <c r="A26" s="11" t="s">
        <v>214</v>
      </c>
      <c r="B26" s="12" t="s">
        <v>216</v>
      </c>
      <c r="C26" s="12" t="s">
        <v>219</v>
      </c>
      <c r="D26" s="12" t="s">
        <v>221</v>
      </c>
    </row>
    <row r="27" ht="15.75" customHeight="1">
      <c r="A27" s="15" t="s">
        <v>223</v>
      </c>
      <c r="B27" s="17" t="s">
        <v>227</v>
      </c>
      <c r="C27" s="17" t="s">
        <v>229</v>
      </c>
      <c r="D27" s="17" t="s">
        <v>230</v>
      </c>
    </row>
    <row r="28" ht="7.5" customHeight="1"/>
    <row r="29" ht="21.75" customHeight="1">
      <c r="A29" s="5" t="s">
        <v>231</v>
      </c>
      <c r="B29" s="6"/>
      <c r="C29" s="6"/>
      <c r="D29" s="7"/>
    </row>
    <row r="30" ht="103.5" customHeight="1">
      <c r="A30" s="8" t="s">
        <v>239</v>
      </c>
    </row>
    <row r="31" ht="7.5" customHeight="1"/>
    <row r="32" ht="13.5" customHeight="1">
      <c r="A32" s="19" t="s">
        <v>242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29:D29"/>
    <mergeCell ref="A30:D30"/>
    <mergeCell ref="A32:D32"/>
    <mergeCell ref="A1:D1"/>
    <mergeCell ref="A2:D2"/>
    <mergeCell ref="A4:D4"/>
    <mergeCell ref="A12:D12"/>
    <mergeCell ref="A19:D19"/>
    <mergeCell ref="A20:D20"/>
    <mergeCell ref="A22:D22"/>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596"/>
    <pageSetUpPr/>
  </sheetPr>
  <sheetViews>
    <sheetView workbookViewId="0"/>
  </sheetViews>
  <sheetFormatPr customHeight="1" defaultColWidth="14.43" defaultRowHeight="15.0"/>
  <cols>
    <col customWidth="1" min="1" max="1" width="30.0"/>
    <col customWidth="1" min="2" max="2" width="24.0"/>
    <col customWidth="1" min="3" max="3" width="46.0"/>
    <col customWidth="1" min="4" max="4" width="30.0"/>
    <col customWidth="1" min="5" max="26" width="8.71"/>
  </cols>
  <sheetData>
    <row r="1" ht="30.0" customHeight="1">
      <c r="A1" s="1" t="s">
        <v>3</v>
      </c>
      <c r="B1" s="2"/>
      <c r="C1" s="2"/>
      <c r="D1" s="3"/>
    </row>
    <row r="2" ht="15.75" customHeight="1">
      <c r="A2" s="4" t="s">
        <v>7</v>
      </c>
    </row>
    <row r="4" ht="21.75" customHeight="1">
      <c r="A4" s="5" t="s">
        <v>11</v>
      </c>
      <c r="B4" s="6"/>
      <c r="C4" s="6"/>
      <c r="D4" s="7"/>
    </row>
    <row r="5" ht="19.5" customHeight="1">
      <c r="A5" s="9" t="s">
        <v>15</v>
      </c>
      <c r="B5" s="10" t="s">
        <v>19</v>
      </c>
      <c r="C5" s="10" t="s">
        <v>23</v>
      </c>
      <c r="D5" s="10" t="s">
        <v>27</v>
      </c>
    </row>
    <row r="6">
      <c r="A6" s="11" t="s">
        <v>32</v>
      </c>
      <c r="B6" s="12" t="s">
        <v>34</v>
      </c>
      <c r="C6" s="12" t="s">
        <v>38</v>
      </c>
      <c r="D6" s="12" t="s">
        <v>42</v>
      </c>
    </row>
    <row r="7">
      <c r="A7" s="15" t="s">
        <v>46</v>
      </c>
      <c r="B7" s="17" t="s">
        <v>51</v>
      </c>
      <c r="C7" s="17" t="s">
        <v>54</v>
      </c>
      <c r="D7" s="17" t="s">
        <v>58</v>
      </c>
    </row>
    <row r="8">
      <c r="A8" s="11" t="s">
        <v>63</v>
      </c>
      <c r="B8" s="12" t="s">
        <v>66</v>
      </c>
      <c r="C8" s="12" t="s">
        <v>70</v>
      </c>
      <c r="D8" s="12" t="s">
        <v>76</v>
      </c>
    </row>
    <row r="9">
      <c r="A9" s="15" t="s">
        <v>80</v>
      </c>
      <c r="B9" s="17" t="s">
        <v>84</v>
      </c>
      <c r="C9" s="17" t="s">
        <v>88</v>
      </c>
      <c r="D9" s="17" t="s">
        <v>92</v>
      </c>
    </row>
    <row r="10">
      <c r="A10" s="11" t="s">
        <v>97</v>
      </c>
      <c r="B10" s="12" t="s">
        <v>99</v>
      </c>
      <c r="C10" s="12" t="s">
        <v>104</v>
      </c>
      <c r="D10" s="12" t="s">
        <v>107</v>
      </c>
    </row>
    <row r="11">
      <c r="A11" s="15" t="s">
        <v>109</v>
      </c>
      <c r="B11" s="17" t="s">
        <v>112</v>
      </c>
      <c r="C11" s="17" t="s">
        <v>116</v>
      </c>
      <c r="D11" s="17" t="s">
        <v>120</v>
      </c>
    </row>
    <row r="12" ht="7.5" customHeight="1"/>
    <row r="13" ht="21.75" customHeight="1">
      <c r="A13" s="5" t="s">
        <v>127</v>
      </c>
      <c r="B13" s="6"/>
      <c r="C13" s="6"/>
      <c r="D13" s="7"/>
    </row>
    <row r="14" ht="19.5" customHeight="1">
      <c r="A14" s="9" t="s">
        <v>141</v>
      </c>
      <c r="B14" s="10" t="s">
        <v>147</v>
      </c>
      <c r="C14" s="10" t="s">
        <v>152</v>
      </c>
      <c r="D14" s="10" t="s">
        <v>157</v>
      </c>
    </row>
    <row r="15">
      <c r="A15" s="11" t="s">
        <v>163</v>
      </c>
      <c r="B15" s="12" t="s">
        <v>165</v>
      </c>
      <c r="C15" s="12" t="s">
        <v>171</v>
      </c>
      <c r="D15" s="12" t="s">
        <v>175</v>
      </c>
    </row>
    <row r="16">
      <c r="A16" s="15" t="s">
        <v>181</v>
      </c>
      <c r="B16" s="17" t="s">
        <v>187</v>
      </c>
      <c r="C16" s="17" t="s">
        <v>192</v>
      </c>
      <c r="D16" s="17" t="s">
        <v>197</v>
      </c>
    </row>
    <row r="17">
      <c r="A17" s="11" t="s">
        <v>203</v>
      </c>
      <c r="B17" s="12" t="s">
        <v>206</v>
      </c>
      <c r="C17" s="12" t="s">
        <v>211</v>
      </c>
      <c r="D17" s="12" t="s">
        <v>213</v>
      </c>
    </row>
    <row r="18">
      <c r="A18" s="15" t="s">
        <v>217</v>
      </c>
      <c r="B18" s="17" t="s">
        <v>222</v>
      </c>
      <c r="C18" s="17" t="s">
        <v>225</v>
      </c>
      <c r="D18" s="17" t="s">
        <v>175</v>
      </c>
    </row>
    <row r="19">
      <c r="A19" s="11" t="s">
        <v>232</v>
      </c>
      <c r="B19" s="12" t="s">
        <v>235</v>
      </c>
      <c r="C19" s="12" t="s">
        <v>237</v>
      </c>
      <c r="D19" s="12" t="s">
        <v>240</v>
      </c>
    </row>
    <row r="20" ht="7.5" customHeight="1"/>
    <row r="21" ht="21.75" customHeight="1">
      <c r="A21" s="5" t="s">
        <v>246</v>
      </c>
      <c r="B21" s="6"/>
      <c r="C21" s="6"/>
      <c r="D21" s="7"/>
    </row>
    <row r="22" ht="19.5" customHeight="1">
      <c r="A22" s="9" t="s">
        <v>15</v>
      </c>
      <c r="B22" s="10" t="s">
        <v>253</v>
      </c>
      <c r="C22" s="10" t="s">
        <v>257</v>
      </c>
      <c r="D22" s="10" t="s">
        <v>258</v>
      </c>
    </row>
    <row r="23" ht="15.75" customHeight="1">
      <c r="A23" s="11" t="s">
        <v>261</v>
      </c>
      <c r="B23" s="12" t="s">
        <v>263</v>
      </c>
      <c r="C23" s="12" t="s">
        <v>265</v>
      </c>
      <c r="D23" s="12" t="s">
        <v>266</v>
      </c>
    </row>
    <row r="24" ht="15.75" customHeight="1">
      <c r="A24" s="15" t="s">
        <v>269</v>
      </c>
      <c r="B24" s="17" t="s">
        <v>271</v>
      </c>
      <c r="C24" s="17" t="s">
        <v>273</v>
      </c>
      <c r="D24" s="17" t="s">
        <v>275</v>
      </c>
    </row>
    <row r="25" ht="15.75" customHeight="1">
      <c r="A25" s="11" t="s">
        <v>277</v>
      </c>
      <c r="B25" s="12" t="s">
        <v>279</v>
      </c>
      <c r="C25" s="12" t="s">
        <v>281</v>
      </c>
      <c r="D25" s="12" t="s">
        <v>283</v>
      </c>
    </row>
    <row r="26" ht="15.75" customHeight="1">
      <c r="A26" s="15" t="s">
        <v>285</v>
      </c>
      <c r="B26" s="17" t="s">
        <v>287</v>
      </c>
      <c r="C26" s="17" t="s">
        <v>290</v>
      </c>
      <c r="D26" s="17" t="s">
        <v>292</v>
      </c>
    </row>
    <row r="27" ht="7.5" customHeight="1"/>
    <row r="28" ht="21.75" customHeight="1">
      <c r="A28" s="5" t="s">
        <v>295</v>
      </c>
      <c r="B28" s="6"/>
      <c r="C28" s="6"/>
      <c r="D28" s="7"/>
    </row>
    <row r="29" ht="87.75" customHeight="1">
      <c r="A29" s="8" t="s">
        <v>300</v>
      </c>
    </row>
    <row r="30" ht="19.5" customHeight="1">
      <c r="A30" s="9" t="s">
        <v>302</v>
      </c>
      <c r="B30" s="10" t="s">
        <v>241</v>
      </c>
      <c r="C30" s="10" t="s">
        <v>303</v>
      </c>
      <c r="D30" s="10" t="s">
        <v>304</v>
      </c>
    </row>
    <row r="31" ht="15.75" customHeight="1">
      <c r="A31" s="11" t="s">
        <v>305</v>
      </c>
      <c r="B31" s="12" t="s">
        <v>306</v>
      </c>
      <c r="C31" s="12" t="s">
        <v>307</v>
      </c>
      <c r="D31" s="12" t="s">
        <v>308</v>
      </c>
    </row>
    <row r="32" ht="15.75" customHeight="1">
      <c r="A32" s="15" t="s">
        <v>309</v>
      </c>
      <c r="B32" s="17" t="s">
        <v>310</v>
      </c>
      <c r="C32" s="17" t="s">
        <v>311</v>
      </c>
      <c r="D32" s="17" t="s">
        <v>312</v>
      </c>
    </row>
    <row r="33" ht="15.75" customHeight="1">
      <c r="A33" s="11" t="s">
        <v>313</v>
      </c>
      <c r="B33" s="12" t="s">
        <v>314</v>
      </c>
      <c r="C33" s="12" t="s">
        <v>315</v>
      </c>
      <c r="D33" s="12" t="s">
        <v>316</v>
      </c>
    </row>
    <row r="34" ht="15.75" customHeight="1">
      <c r="A34" s="15" t="s">
        <v>317</v>
      </c>
      <c r="B34" s="17" t="s">
        <v>318</v>
      </c>
      <c r="C34" s="17" t="s">
        <v>319</v>
      </c>
      <c r="D34" s="17" t="s">
        <v>320</v>
      </c>
    </row>
    <row r="35" ht="7.5" customHeight="1"/>
    <row r="36" ht="21.75" customHeight="1">
      <c r="A36" s="5" t="s">
        <v>321</v>
      </c>
      <c r="B36" s="6"/>
      <c r="C36" s="6"/>
      <c r="D36" s="7"/>
    </row>
    <row r="37" ht="72.0" customHeight="1">
      <c r="A37" s="8" t="s">
        <v>322</v>
      </c>
    </row>
    <row r="38" ht="7.5" customHeight="1"/>
    <row r="39" ht="13.5" customHeight="1">
      <c r="A39" s="19" t="s">
        <v>323</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6:D36"/>
    <mergeCell ref="A37:D37"/>
    <mergeCell ref="A39:D39"/>
    <mergeCell ref="A1:D1"/>
    <mergeCell ref="A2:D2"/>
    <mergeCell ref="A4:D4"/>
    <mergeCell ref="A13:D13"/>
    <mergeCell ref="A21:D21"/>
    <mergeCell ref="A28:D28"/>
    <mergeCell ref="A29:D29"/>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596"/>
    <pageSetUpPr/>
  </sheetPr>
  <sheetViews>
    <sheetView workbookViewId="0"/>
  </sheetViews>
  <sheetFormatPr customHeight="1" defaultColWidth="14.43" defaultRowHeight="15.0"/>
  <cols>
    <col customWidth="1" min="1" max="1" width="30.0"/>
    <col customWidth="1" min="2" max="2" width="22.0"/>
    <col customWidth="1" min="3" max="3" width="46.0"/>
    <col customWidth="1" min="4" max="4" width="32.0"/>
    <col customWidth="1" min="5" max="26" width="8.71"/>
  </cols>
  <sheetData>
    <row r="1" ht="30.0" customHeight="1">
      <c r="A1" s="1" t="s">
        <v>325</v>
      </c>
      <c r="B1" s="2"/>
      <c r="C1" s="2"/>
      <c r="D1" s="3"/>
    </row>
    <row r="2" ht="15.75" customHeight="1">
      <c r="A2" s="4" t="s">
        <v>327</v>
      </c>
    </row>
    <row r="4" ht="21.75" customHeight="1">
      <c r="A4" s="5" t="s">
        <v>329</v>
      </c>
      <c r="B4" s="6"/>
      <c r="C4" s="6"/>
      <c r="D4" s="7"/>
    </row>
    <row r="5" ht="19.5" customHeight="1">
      <c r="A5" s="9" t="s">
        <v>330</v>
      </c>
      <c r="B5" s="10" t="s">
        <v>332</v>
      </c>
      <c r="C5" s="10" t="s">
        <v>333</v>
      </c>
      <c r="D5" s="10" t="s">
        <v>334</v>
      </c>
    </row>
    <row r="6">
      <c r="A6" s="11" t="s">
        <v>335</v>
      </c>
      <c r="B6" s="12" t="s">
        <v>337</v>
      </c>
      <c r="C6" s="12" t="s">
        <v>338</v>
      </c>
      <c r="D6" s="12" t="s">
        <v>340</v>
      </c>
    </row>
    <row r="7">
      <c r="A7" s="15" t="s">
        <v>342</v>
      </c>
      <c r="B7" s="17" t="s">
        <v>343</v>
      </c>
      <c r="C7" s="17" t="s">
        <v>345</v>
      </c>
      <c r="D7" s="17" t="s">
        <v>347</v>
      </c>
    </row>
    <row r="8">
      <c r="A8" s="11" t="s">
        <v>348</v>
      </c>
      <c r="B8" s="12" t="s">
        <v>350</v>
      </c>
      <c r="C8" s="12" t="s">
        <v>351</v>
      </c>
      <c r="D8" s="12" t="s">
        <v>353</v>
      </c>
    </row>
    <row r="9">
      <c r="A9" s="15" t="s">
        <v>354</v>
      </c>
      <c r="B9" s="17" t="s">
        <v>250</v>
      </c>
      <c r="C9" s="17" t="s">
        <v>357</v>
      </c>
      <c r="D9" s="17" t="s">
        <v>358</v>
      </c>
    </row>
    <row r="10">
      <c r="A10" s="11" t="s">
        <v>360</v>
      </c>
      <c r="B10" s="12" t="s">
        <v>362</v>
      </c>
      <c r="C10" s="12" t="s">
        <v>364</v>
      </c>
      <c r="D10" s="12" t="s">
        <v>366</v>
      </c>
    </row>
    <row r="11">
      <c r="A11" s="15" t="s">
        <v>368</v>
      </c>
      <c r="B11" s="17" t="s">
        <v>370</v>
      </c>
      <c r="C11" s="17" t="s">
        <v>371</v>
      </c>
      <c r="D11" s="17" t="s">
        <v>373</v>
      </c>
    </row>
    <row r="12" ht="7.5" customHeight="1"/>
    <row r="13" ht="21.75" customHeight="1">
      <c r="A13" s="5" t="s">
        <v>375</v>
      </c>
      <c r="B13" s="6"/>
      <c r="C13" s="6"/>
      <c r="D13" s="7"/>
    </row>
    <row r="14" ht="19.5" customHeight="1">
      <c r="A14" s="9" t="s">
        <v>14</v>
      </c>
      <c r="B14" s="10" t="s">
        <v>18</v>
      </c>
      <c r="C14" s="10" t="s">
        <v>257</v>
      </c>
      <c r="D14" s="10" t="s">
        <v>245</v>
      </c>
    </row>
    <row r="15">
      <c r="A15" s="11" t="s">
        <v>383</v>
      </c>
      <c r="B15" s="12" t="s">
        <v>384</v>
      </c>
      <c r="C15" s="12" t="s">
        <v>387</v>
      </c>
      <c r="D15" s="12" t="s">
        <v>388</v>
      </c>
    </row>
    <row r="16">
      <c r="A16" s="15" t="s">
        <v>390</v>
      </c>
      <c r="B16" s="17" t="s">
        <v>391</v>
      </c>
      <c r="C16" s="17" t="s">
        <v>393</v>
      </c>
      <c r="D16" s="17" t="s">
        <v>394</v>
      </c>
    </row>
    <row r="17">
      <c r="A17" s="11" t="s">
        <v>397</v>
      </c>
      <c r="B17" s="12" t="s">
        <v>398</v>
      </c>
      <c r="C17" s="12" t="s">
        <v>400</v>
      </c>
      <c r="D17" s="12" t="s">
        <v>401</v>
      </c>
    </row>
    <row r="18">
      <c r="A18" s="15" t="s">
        <v>402</v>
      </c>
      <c r="B18" s="17" t="s">
        <v>404</v>
      </c>
      <c r="C18" s="17" t="s">
        <v>406</v>
      </c>
      <c r="D18" s="17" t="s">
        <v>407</v>
      </c>
    </row>
    <row r="19">
      <c r="A19" s="11" t="s">
        <v>408</v>
      </c>
      <c r="B19" s="12" t="s">
        <v>409</v>
      </c>
      <c r="C19" s="12" t="s">
        <v>411</v>
      </c>
      <c r="D19" s="12" t="s">
        <v>413</v>
      </c>
    </row>
    <row r="20">
      <c r="A20" s="15" t="s">
        <v>416</v>
      </c>
      <c r="B20" s="17" t="s">
        <v>418</v>
      </c>
      <c r="C20" s="17" t="s">
        <v>420</v>
      </c>
      <c r="D20" s="17" t="s">
        <v>421</v>
      </c>
    </row>
    <row r="21" ht="7.5" customHeight="1"/>
    <row r="22" ht="21.75" customHeight="1">
      <c r="A22" s="5" t="s">
        <v>425</v>
      </c>
      <c r="B22" s="6"/>
      <c r="C22" s="6"/>
      <c r="D22" s="7"/>
    </row>
    <row r="23" ht="19.5" customHeight="1">
      <c r="A23" s="9" t="s">
        <v>429</v>
      </c>
      <c r="B23" s="10" t="s">
        <v>336</v>
      </c>
      <c r="C23" s="10" t="s">
        <v>433</v>
      </c>
      <c r="D23" s="10" t="s">
        <v>436</v>
      </c>
    </row>
    <row r="24" ht="15.75" customHeight="1">
      <c r="A24" s="11" t="s">
        <v>439</v>
      </c>
      <c r="B24" s="12" t="s">
        <v>441</v>
      </c>
      <c r="C24" s="12" t="s">
        <v>444</v>
      </c>
      <c r="D24" s="12" t="s">
        <v>447</v>
      </c>
    </row>
    <row r="25" ht="15.75" customHeight="1">
      <c r="A25" s="15" t="s">
        <v>450</v>
      </c>
      <c r="B25" s="17" t="s">
        <v>376</v>
      </c>
      <c r="C25" s="17" t="s">
        <v>453</v>
      </c>
      <c r="D25" s="17" t="s">
        <v>456</v>
      </c>
    </row>
    <row r="26" ht="15.75" customHeight="1">
      <c r="A26" s="11" t="s">
        <v>458</v>
      </c>
      <c r="B26" s="12" t="s">
        <v>376</v>
      </c>
      <c r="C26" s="12" t="s">
        <v>463</v>
      </c>
      <c r="D26" s="12" t="s">
        <v>465</v>
      </c>
    </row>
    <row r="27" ht="15.75" customHeight="1">
      <c r="A27" s="15" t="s">
        <v>469</v>
      </c>
      <c r="B27" s="17" t="s">
        <v>472</v>
      </c>
      <c r="C27" s="17" t="s">
        <v>475</v>
      </c>
      <c r="D27" s="17" t="s">
        <v>477</v>
      </c>
    </row>
    <row r="28" ht="7.5" customHeight="1"/>
    <row r="29" ht="21.75" customHeight="1">
      <c r="A29" s="5" t="s">
        <v>478</v>
      </c>
      <c r="B29" s="6"/>
      <c r="C29" s="6"/>
      <c r="D29" s="7"/>
    </row>
    <row r="30" ht="87.75" customHeight="1">
      <c r="A30" s="8" t="s">
        <v>483</v>
      </c>
    </row>
    <row r="31" ht="7.5" customHeight="1"/>
    <row r="32" ht="13.5" customHeight="1">
      <c r="A32" s="19" t="s">
        <v>487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A2:D2"/>
    <mergeCell ref="A4:D4"/>
    <mergeCell ref="A13:D13"/>
    <mergeCell ref="A22:D22"/>
    <mergeCell ref="A29:D29"/>
    <mergeCell ref="A30:D30"/>
    <mergeCell ref="A32:D32"/>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5596"/>
    <pageSetUpPr/>
  </sheetPr>
  <sheetViews>
    <sheetView workbookViewId="0"/>
  </sheetViews>
  <sheetFormatPr customHeight="1" defaultColWidth="14.43" defaultRowHeight="15.0"/>
  <cols>
    <col customWidth="1" min="1" max="1" width="30.0"/>
    <col customWidth="1" min="2" max="2" width="24.0"/>
    <col customWidth="1" min="3" max="3" width="46.0"/>
    <col customWidth="1" min="4" max="4" width="30.0"/>
    <col customWidth="1" min="5" max="26" width="8.71"/>
  </cols>
  <sheetData>
    <row r="1" ht="30.0" customHeight="1">
      <c r="A1" s="1" t="s">
        <v>324</v>
      </c>
      <c r="B1" s="2"/>
      <c r="C1" s="2"/>
      <c r="D1" s="3"/>
    </row>
    <row r="2" ht="15.75" customHeight="1">
      <c r="A2" s="4" t="s">
        <v>326</v>
      </c>
    </row>
    <row r="4" ht="21.75" customHeight="1">
      <c r="A4" s="5" t="s">
        <v>328</v>
      </c>
      <c r="B4" s="6"/>
      <c r="C4" s="6"/>
      <c r="D4" s="7"/>
    </row>
    <row r="5" ht="19.5" customHeight="1">
      <c r="A5" s="9" t="s">
        <v>331</v>
      </c>
      <c r="B5" s="10" t="s">
        <v>234</v>
      </c>
      <c r="C5" s="10" t="s">
        <v>21</v>
      </c>
      <c r="D5" s="10" t="s">
        <v>336</v>
      </c>
    </row>
    <row r="6">
      <c r="A6" s="11" t="s">
        <v>339</v>
      </c>
      <c r="B6" s="12" t="s">
        <v>341</v>
      </c>
      <c r="C6" s="12" t="s">
        <v>344</v>
      </c>
      <c r="D6" s="12" t="s">
        <v>346</v>
      </c>
    </row>
    <row r="7">
      <c r="A7" s="15" t="s">
        <v>349</v>
      </c>
      <c r="B7" s="17" t="s">
        <v>352</v>
      </c>
      <c r="C7" s="17" t="s">
        <v>355</v>
      </c>
      <c r="D7" s="17" t="s">
        <v>356</v>
      </c>
    </row>
    <row r="8">
      <c r="A8" s="11" t="s">
        <v>359</v>
      </c>
      <c r="B8" s="12" t="s">
        <v>361</v>
      </c>
      <c r="C8" s="12" t="s">
        <v>363</v>
      </c>
      <c r="D8" s="12" t="s">
        <v>367</v>
      </c>
    </row>
    <row r="9">
      <c r="A9" s="15" t="s">
        <v>369</v>
      </c>
      <c r="B9" s="17" t="s">
        <v>372</v>
      </c>
      <c r="C9" s="17" t="s">
        <v>374</v>
      </c>
      <c r="D9" s="17" t="s">
        <v>376</v>
      </c>
    </row>
    <row r="10">
      <c r="A10" s="11" t="s">
        <v>377</v>
      </c>
      <c r="B10" s="12" t="s">
        <v>379</v>
      </c>
      <c r="C10" s="12" t="s">
        <v>381</v>
      </c>
      <c r="D10" s="12" t="s">
        <v>382</v>
      </c>
    </row>
    <row r="11">
      <c r="A11" s="15" t="s">
        <v>385</v>
      </c>
      <c r="B11" s="17" t="s">
        <v>389</v>
      </c>
      <c r="C11" s="17" t="s">
        <v>396</v>
      </c>
      <c r="D11" s="17" t="s">
        <v>399</v>
      </c>
    </row>
    <row r="12" ht="7.5" customHeight="1"/>
    <row r="13" ht="21.75" customHeight="1">
      <c r="A13" s="5" t="s">
        <v>403</v>
      </c>
      <c r="B13" s="6"/>
      <c r="C13" s="6"/>
      <c r="D13" s="7"/>
    </row>
    <row r="14" ht="19.5" customHeight="1">
      <c r="A14" s="9" t="s">
        <v>410</v>
      </c>
      <c r="B14" s="10" t="s">
        <v>412</v>
      </c>
      <c r="C14" s="10" t="s">
        <v>415</v>
      </c>
      <c r="D14" s="10" t="s">
        <v>419</v>
      </c>
    </row>
    <row r="15">
      <c r="A15" s="11" t="s">
        <v>422</v>
      </c>
      <c r="B15" s="12" t="s">
        <v>424</v>
      </c>
      <c r="C15" s="12" t="s">
        <v>426</v>
      </c>
      <c r="D15" s="12" t="s">
        <v>427</v>
      </c>
    </row>
    <row r="16">
      <c r="A16" s="15" t="s">
        <v>428</v>
      </c>
      <c r="B16" s="17" t="s">
        <v>430</v>
      </c>
      <c r="C16" s="17" t="s">
        <v>432</v>
      </c>
      <c r="D16" s="17" t="s">
        <v>434</v>
      </c>
    </row>
    <row r="17">
      <c r="A17" s="11" t="s">
        <v>437</v>
      </c>
      <c r="B17" s="12" t="s">
        <v>440</v>
      </c>
      <c r="C17" s="12" t="s">
        <v>442</v>
      </c>
      <c r="D17" s="12" t="s">
        <v>443</v>
      </c>
    </row>
    <row r="18">
      <c r="A18" s="15" t="s">
        <v>446</v>
      </c>
      <c r="B18" s="17" t="s">
        <v>449</v>
      </c>
      <c r="C18" s="17" t="s">
        <v>451</v>
      </c>
      <c r="D18" s="17" t="s">
        <v>452</v>
      </c>
    </row>
    <row r="19">
      <c r="A19" s="11" t="s">
        <v>454</v>
      </c>
      <c r="B19" s="12" t="s">
        <v>459</v>
      </c>
      <c r="C19" s="12" t="s">
        <v>461</v>
      </c>
      <c r="D19" s="12" t="s">
        <v>462</v>
      </c>
    </row>
    <row r="20">
      <c r="A20" s="15" t="s">
        <v>464</v>
      </c>
      <c r="B20" s="17" t="s">
        <v>466</v>
      </c>
      <c r="C20" s="17" t="s">
        <v>468</v>
      </c>
      <c r="D20" s="17" t="s">
        <v>471</v>
      </c>
    </row>
    <row r="21" ht="7.5" customHeight="1"/>
    <row r="22" ht="21.75" customHeight="1">
      <c r="A22" s="5" t="s">
        <v>474</v>
      </c>
      <c r="B22" s="6"/>
      <c r="C22" s="6"/>
      <c r="D22" s="7"/>
    </row>
    <row r="23" ht="19.5" customHeight="1">
      <c r="A23" s="9" t="s">
        <v>480</v>
      </c>
      <c r="B23" s="10" t="s">
        <v>481</v>
      </c>
      <c r="C23" s="10" t="s">
        <v>482</v>
      </c>
      <c r="D23" s="10" t="s">
        <v>245</v>
      </c>
    </row>
    <row r="24" ht="15.75" customHeight="1">
      <c r="A24" s="11" t="s">
        <v>486</v>
      </c>
      <c r="B24" s="12" t="s">
        <v>250</v>
      </c>
      <c r="C24" s="12" t="s">
        <v>488</v>
      </c>
      <c r="D24" s="12" t="s">
        <v>490</v>
      </c>
    </row>
    <row r="25" ht="15.75" customHeight="1">
      <c r="A25" s="15" t="s">
        <v>491</v>
      </c>
      <c r="B25" s="17" t="s">
        <v>492</v>
      </c>
      <c r="C25" s="17" t="s">
        <v>493</v>
      </c>
      <c r="D25" s="17" t="s">
        <v>495</v>
      </c>
    </row>
    <row r="26" ht="15.75" customHeight="1">
      <c r="A26" s="11" t="s">
        <v>496</v>
      </c>
      <c r="B26" s="12" t="s">
        <v>497</v>
      </c>
      <c r="C26" s="12" t="s">
        <v>498</v>
      </c>
      <c r="D26" s="12" t="s">
        <v>499</v>
      </c>
    </row>
    <row r="27" ht="15.75" customHeight="1">
      <c r="A27" s="15" t="s">
        <v>501</v>
      </c>
      <c r="B27" s="17" t="s">
        <v>502</v>
      </c>
      <c r="C27" s="17" t="s">
        <v>503</v>
      </c>
      <c r="D27" s="17" t="s">
        <v>505</v>
      </c>
    </row>
    <row r="28" ht="15.75" customHeight="1">
      <c r="A28" s="11" t="s">
        <v>507</v>
      </c>
      <c r="B28" s="12" t="s">
        <v>509</v>
      </c>
      <c r="C28" s="12" t="s">
        <v>510</v>
      </c>
      <c r="D28" s="12" t="s">
        <v>512</v>
      </c>
    </row>
    <row r="29" ht="15.75" customHeight="1">
      <c r="A29" s="15" t="s">
        <v>513</v>
      </c>
      <c r="B29" s="17" t="s">
        <v>514</v>
      </c>
      <c r="C29" s="17" t="s">
        <v>516</v>
      </c>
      <c r="D29" s="17" t="s">
        <v>517</v>
      </c>
    </row>
    <row r="30" ht="15.75" customHeight="1">
      <c r="A30" s="24" t="s">
        <v>518</v>
      </c>
      <c r="B30" s="25" t="s">
        <v>520</v>
      </c>
      <c r="C30" s="25" t="s">
        <v>521</v>
      </c>
      <c r="D30" s="25" t="s">
        <v>523</v>
      </c>
    </row>
    <row r="31" ht="7.5" customHeight="1"/>
    <row r="32" ht="21.75" customHeight="1">
      <c r="A32" s="5" t="s">
        <v>525</v>
      </c>
      <c r="B32" s="6"/>
      <c r="C32" s="6"/>
      <c r="D32" s="7"/>
    </row>
    <row r="33" ht="96.0" customHeight="1">
      <c r="A33" s="8" t="s">
        <v>527</v>
      </c>
    </row>
    <row r="34" ht="7.5" customHeight="1"/>
    <row r="35" ht="21.75" customHeight="1">
      <c r="A35" s="5" t="s">
        <v>528</v>
      </c>
      <c r="B35" s="6"/>
      <c r="C35" s="6"/>
      <c r="D35" s="7"/>
    </row>
    <row r="36" ht="19.5" customHeight="1">
      <c r="A36" s="9" t="s">
        <v>531</v>
      </c>
      <c r="B36" s="10" t="s">
        <v>532</v>
      </c>
      <c r="C36" s="10" t="s">
        <v>533</v>
      </c>
      <c r="D36" s="10" t="s">
        <v>25</v>
      </c>
    </row>
    <row r="37" ht="15.75" customHeight="1">
      <c r="A37" s="11" t="s">
        <v>535</v>
      </c>
      <c r="B37" s="12" t="s">
        <v>537</v>
      </c>
      <c r="C37" s="13" t="s">
        <v>538</v>
      </c>
      <c r="D37" s="14"/>
    </row>
    <row r="38" ht="15.75" customHeight="1">
      <c r="A38" s="15" t="s">
        <v>540</v>
      </c>
      <c r="B38" s="17" t="s">
        <v>541</v>
      </c>
      <c r="C38" s="18" t="s">
        <v>543</v>
      </c>
      <c r="D38" s="14"/>
    </row>
    <row r="39" ht="15.75" customHeight="1">
      <c r="A39" s="11" t="s">
        <v>544</v>
      </c>
      <c r="B39" s="12" t="s">
        <v>546</v>
      </c>
      <c r="C39" s="13" t="s">
        <v>547</v>
      </c>
      <c r="D39" s="14"/>
    </row>
    <row r="40" ht="15.75" customHeight="1">
      <c r="A40" s="15" t="s">
        <v>549</v>
      </c>
      <c r="B40" s="17" t="s">
        <v>550</v>
      </c>
      <c r="C40" s="18" t="s">
        <v>551</v>
      </c>
      <c r="D40" s="14"/>
    </row>
    <row r="41" ht="15.75" customHeight="1">
      <c r="A41" s="11" t="s">
        <v>554</v>
      </c>
      <c r="B41" s="12" t="s">
        <v>555</v>
      </c>
      <c r="C41" s="13" t="s">
        <v>556</v>
      </c>
      <c r="D41" s="14"/>
    </row>
    <row r="42" ht="15.75" customHeight="1">
      <c r="A42" s="15" t="s">
        <v>557</v>
      </c>
      <c r="B42" s="17" t="s">
        <v>558</v>
      </c>
      <c r="C42" s="18" t="s">
        <v>559</v>
      </c>
      <c r="D42" s="14"/>
    </row>
    <row r="43" ht="7.5" customHeight="1"/>
    <row r="44" ht="13.5" customHeight="1">
      <c r="A44" s="19" t="s">
        <v>562</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35:D35"/>
    <mergeCell ref="C37:D37"/>
    <mergeCell ref="C38:D38"/>
    <mergeCell ref="C39:D39"/>
    <mergeCell ref="C40:D40"/>
    <mergeCell ref="C41:D41"/>
    <mergeCell ref="C42:D42"/>
    <mergeCell ref="A44:D44"/>
    <mergeCell ref="A1:D1"/>
    <mergeCell ref="A2:D2"/>
    <mergeCell ref="A4:D4"/>
    <mergeCell ref="A13:D13"/>
    <mergeCell ref="A22:D22"/>
    <mergeCell ref="A32:D32"/>
    <mergeCell ref="A33:D33"/>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sheetViews>
  <sheetFormatPr customHeight="1" defaultColWidth="14.43" defaultRowHeight="15.0"/>
  <cols>
    <col customWidth="1" min="1" max="1" width="34.0"/>
    <col customWidth="1" min="2" max="2" width="14.0"/>
    <col customWidth="1" min="3" max="3" width="12.0"/>
    <col customWidth="1" min="4" max="5" width="18.0"/>
    <col customWidth="1" min="6" max="6" width="30.0"/>
    <col customWidth="1" min="7" max="26" width="8.71"/>
  </cols>
  <sheetData>
    <row r="1" ht="30.0" customHeight="1">
      <c r="A1" s="1" t="s">
        <v>365</v>
      </c>
      <c r="B1" s="2"/>
      <c r="C1" s="2"/>
      <c r="D1" s="2"/>
      <c r="E1" s="2"/>
      <c r="F1" s="3"/>
    </row>
    <row r="2" ht="15.75" customHeight="1">
      <c r="A2" s="4" t="s">
        <v>378</v>
      </c>
    </row>
    <row r="4" ht="21.75" customHeight="1">
      <c r="A4" s="5" t="s">
        <v>380</v>
      </c>
      <c r="B4" s="6"/>
      <c r="C4" s="6"/>
      <c r="D4" s="6"/>
      <c r="E4" s="6"/>
      <c r="F4" s="7"/>
    </row>
    <row r="5" ht="19.5" customHeight="1">
      <c r="A5" s="9" t="s">
        <v>386</v>
      </c>
      <c r="B5" s="10" t="s">
        <v>18</v>
      </c>
      <c r="C5" s="10" t="s">
        <v>392</v>
      </c>
      <c r="D5" s="10" t="s">
        <v>395</v>
      </c>
      <c r="E5" s="10" t="s">
        <v>25</v>
      </c>
      <c r="F5" s="10" t="s">
        <v>25</v>
      </c>
    </row>
    <row r="6">
      <c r="A6" s="11" t="s">
        <v>405</v>
      </c>
      <c r="B6" s="20">
        <v>400.0</v>
      </c>
      <c r="C6" s="12" t="s">
        <v>414</v>
      </c>
      <c r="D6" s="13" t="s">
        <v>417</v>
      </c>
      <c r="E6" s="16"/>
      <c r="F6" s="14"/>
    </row>
    <row r="7">
      <c r="A7" s="11" t="s">
        <v>423</v>
      </c>
      <c r="B7" s="20">
        <v>650.0</v>
      </c>
      <c r="C7" s="12" t="s">
        <v>414</v>
      </c>
      <c r="D7" s="13" t="s">
        <v>431</v>
      </c>
      <c r="E7" s="16"/>
      <c r="F7" s="14"/>
    </row>
    <row r="8">
      <c r="A8" s="11" t="s">
        <v>438</v>
      </c>
      <c r="B8" s="21">
        <v>9.0</v>
      </c>
      <c r="C8" s="12" t="s">
        <v>445</v>
      </c>
      <c r="D8" s="13" t="s">
        <v>448</v>
      </c>
      <c r="E8" s="16"/>
      <c r="F8" s="14"/>
    </row>
    <row r="9">
      <c r="A9" s="11" t="s">
        <v>455</v>
      </c>
      <c r="B9" s="21">
        <v>5.0</v>
      </c>
      <c r="C9" s="12" t="s">
        <v>445</v>
      </c>
      <c r="D9" s="13" t="s">
        <v>460</v>
      </c>
      <c r="E9" s="16"/>
      <c r="F9" s="14"/>
    </row>
    <row r="10">
      <c r="A10" s="11" t="s">
        <v>467</v>
      </c>
      <c r="B10" s="21">
        <v>110.0</v>
      </c>
      <c r="C10" s="12" t="s">
        <v>473</v>
      </c>
      <c r="D10" s="13" t="s">
        <v>476</v>
      </c>
      <c r="E10" s="16"/>
      <c r="F10" s="14"/>
    </row>
    <row r="11">
      <c r="A11" s="11" t="s">
        <v>479</v>
      </c>
      <c r="B11" s="22">
        <v>0.3</v>
      </c>
      <c r="C11" s="12" t="s">
        <v>485</v>
      </c>
      <c r="D11" s="13" t="s">
        <v>489</v>
      </c>
      <c r="E11" s="16"/>
      <c r="F11" s="14"/>
    </row>
    <row r="12">
      <c r="A12" s="11" t="s">
        <v>494</v>
      </c>
      <c r="B12" s="22">
        <v>0.8</v>
      </c>
      <c r="C12" s="12" t="s">
        <v>485</v>
      </c>
      <c r="D12" s="13" t="s">
        <v>500</v>
      </c>
      <c r="E12" s="16"/>
      <c r="F12" s="14"/>
    </row>
    <row r="13">
      <c r="A13" s="11" t="s">
        <v>504</v>
      </c>
      <c r="B13" s="20">
        <v>100.0</v>
      </c>
      <c r="C13" s="12" t="s">
        <v>506</v>
      </c>
      <c r="D13" s="13" t="s">
        <v>508</v>
      </c>
      <c r="E13" s="16"/>
      <c r="F13" s="14"/>
    </row>
    <row r="14">
      <c r="A14" s="11" t="s">
        <v>511</v>
      </c>
      <c r="B14" s="20">
        <v>60.0</v>
      </c>
      <c r="C14" s="12" t="s">
        <v>506</v>
      </c>
      <c r="D14" s="13" t="s">
        <v>515</v>
      </c>
      <c r="E14" s="16"/>
      <c r="F14" s="14"/>
    </row>
    <row r="15">
      <c r="A15" s="11" t="s">
        <v>519</v>
      </c>
      <c r="B15" s="20">
        <v>30.0</v>
      </c>
      <c r="C15" s="12" t="s">
        <v>506</v>
      </c>
      <c r="D15" s="13" t="s">
        <v>524</v>
      </c>
      <c r="E15" s="16"/>
      <c r="F15" s="14"/>
    </row>
    <row r="16">
      <c r="A16" s="11" t="s">
        <v>526</v>
      </c>
      <c r="B16" s="26">
        <v>0.01</v>
      </c>
      <c r="C16" s="12" t="s">
        <v>529</v>
      </c>
      <c r="D16" s="13" t="s">
        <v>530</v>
      </c>
      <c r="E16" s="16"/>
      <c r="F16" s="14"/>
    </row>
    <row r="17">
      <c r="A17" s="11" t="s">
        <v>534</v>
      </c>
      <c r="B17" s="20">
        <v>2500.0</v>
      </c>
      <c r="C17" s="12" t="s">
        <v>536</v>
      </c>
      <c r="D17" s="13" t="s">
        <v>539</v>
      </c>
      <c r="E17" s="16"/>
      <c r="F17" s="14"/>
    </row>
    <row r="18" ht="7.5" customHeight="1"/>
    <row r="19" ht="21.75" customHeight="1">
      <c r="A19" s="5" t="s">
        <v>542</v>
      </c>
      <c r="B19" s="6"/>
      <c r="C19" s="6"/>
      <c r="D19" s="6"/>
      <c r="E19" s="6"/>
      <c r="F19" s="7"/>
    </row>
    <row r="20" ht="19.5" customHeight="1">
      <c r="A20" s="9" t="s">
        <v>548</v>
      </c>
      <c r="B20" s="10" t="s">
        <v>18</v>
      </c>
      <c r="C20" s="10" t="s">
        <v>392</v>
      </c>
      <c r="D20" s="10" t="s">
        <v>553</v>
      </c>
      <c r="E20" s="10" t="s">
        <v>25</v>
      </c>
      <c r="F20" s="10" t="s">
        <v>25</v>
      </c>
    </row>
    <row r="21" ht="15.75" customHeight="1">
      <c r="A21" s="15" t="s">
        <v>560</v>
      </c>
      <c r="B21" s="23">
        <f>B13+B14+B15</f>
        <v>190</v>
      </c>
      <c r="C21" s="17" t="s">
        <v>506</v>
      </c>
      <c r="D21" s="18" t="s">
        <v>568</v>
      </c>
      <c r="E21" s="16"/>
      <c r="F21" s="14"/>
    </row>
    <row r="22" ht="15.75" customHeight="1">
      <c r="A22" s="15" t="s">
        <v>571</v>
      </c>
      <c r="B22" s="29">
        <f>CEILING(B21/(B6*(1-B16)),1)</f>
        <v>1</v>
      </c>
      <c r="C22" s="17" t="s">
        <v>573</v>
      </c>
      <c r="D22" s="18" t="s">
        <v>574</v>
      </c>
      <c r="E22" s="16"/>
      <c r="F22" s="14"/>
    </row>
    <row r="23" ht="15.75" customHeight="1">
      <c r="A23" s="15" t="s">
        <v>576</v>
      </c>
      <c r="B23" s="31">
        <f>B10*(1-B11)</f>
        <v>77</v>
      </c>
      <c r="C23" s="17" t="s">
        <v>473</v>
      </c>
      <c r="D23" s="18" t="s">
        <v>579</v>
      </c>
      <c r="E23" s="16"/>
      <c r="F23" s="14"/>
    </row>
    <row r="24" ht="15.75" customHeight="1">
      <c r="A24" s="15" t="s">
        <v>581</v>
      </c>
      <c r="B24" s="29">
        <f>FLOOR(B23/B9,1)</f>
        <v>15</v>
      </c>
      <c r="C24" s="17" t="s">
        <v>573</v>
      </c>
      <c r="D24" s="18" t="s">
        <v>588</v>
      </c>
      <c r="E24" s="16"/>
      <c r="F24" s="14"/>
    </row>
    <row r="25" ht="15.75" customHeight="1">
      <c r="A25" s="15" t="s">
        <v>592</v>
      </c>
      <c r="B25" s="29">
        <f>FLOOR(B23/B8,1)</f>
        <v>8</v>
      </c>
      <c r="C25" s="17" t="s">
        <v>573</v>
      </c>
      <c r="D25" s="18" t="s">
        <v>599</v>
      </c>
      <c r="E25" s="16"/>
      <c r="F25" s="14"/>
    </row>
    <row r="26" ht="15.75" customHeight="1">
      <c r="A26" s="15" t="s">
        <v>604</v>
      </c>
      <c r="B26" s="23">
        <f>B24*B7*12</f>
        <v>117000</v>
      </c>
      <c r="C26" s="17" t="s">
        <v>611</v>
      </c>
      <c r="D26" s="18" t="s">
        <v>614</v>
      </c>
      <c r="E26" s="16"/>
      <c r="F26" s="14"/>
    </row>
    <row r="27" ht="15.75" customHeight="1">
      <c r="A27" s="15" t="s">
        <v>617</v>
      </c>
      <c r="B27" s="34">
        <f>1/(1-B12)</f>
        <v>5</v>
      </c>
      <c r="C27" s="17" t="s">
        <v>622</v>
      </c>
      <c r="D27" s="18" t="s">
        <v>624</v>
      </c>
      <c r="E27" s="16"/>
      <c r="F27" s="14"/>
    </row>
    <row r="28" ht="15.75" customHeight="1">
      <c r="A28" s="15" t="s">
        <v>628</v>
      </c>
      <c r="B28" s="23">
        <f>B7*12*(1/(1-B12))*(1-B16)</f>
        <v>38610</v>
      </c>
      <c r="C28" s="17" t="s">
        <v>536</v>
      </c>
      <c r="D28" s="18" t="s">
        <v>641</v>
      </c>
      <c r="E28" s="16"/>
      <c r="F28" s="14"/>
    </row>
    <row r="29" ht="15.75" customHeight="1">
      <c r="A29" s="15" t="s">
        <v>647</v>
      </c>
      <c r="B29" s="23">
        <f>2*B6*(1-B16)-B21</f>
        <v>602</v>
      </c>
      <c r="C29" s="17" t="s">
        <v>506</v>
      </c>
      <c r="D29" s="18" t="s">
        <v>656</v>
      </c>
      <c r="E29" s="16"/>
      <c r="F29" s="14"/>
    </row>
    <row r="30" ht="7.5" customHeight="1"/>
    <row r="31" ht="21.75" customHeight="1">
      <c r="A31" s="5" t="s">
        <v>660</v>
      </c>
      <c r="B31" s="6"/>
      <c r="C31" s="6"/>
      <c r="D31" s="6"/>
      <c r="E31" s="6"/>
      <c r="F31" s="7"/>
    </row>
    <row r="32" ht="28.5" customHeight="1">
      <c r="A32" s="9" t="s">
        <v>111</v>
      </c>
      <c r="B32" s="10" t="s">
        <v>668</v>
      </c>
      <c r="C32" s="10" t="s">
        <v>670</v>
      </c>
      <c r="D32" s="10" t="s">
        <v>672</v>
      </c>
      <c r="E32" s="10" t="s">
        <v>675</v>
      </c>
      <c r="F32" s="10" t="s">
        <v>678</v>
      </c>
    </row>
    <row r="33" ht="15.75" customHeight="1">
      <c r="A33" s="11">
        <v>1.0</v>
      </c>
      <c r="B33" s="30">
        <f>A33*B6</f>
        <v>400</v>
      </c>
      <c r="C33" s="30">
        <f>A33*B7</f>
        <v>650</v>
      </c>
      <c r="D33" s="28">
        <f>A33*B9</f>
        <v>5</v>
      </c>
      <c r="E33" s="28" t="str">
        <f>IF(A33*B9&gt;B23,"OVER — hire required",IF(A33*B8&gt;B23,"OK (tight during ramp)","OK"))</f>
        <v>OK</v>
      </c>
      <c r="F33" s="30">
        <f>A33*B7*(1-B16)-B21</f>
        <v>453.5</v>
      </c>
    </row>
    <row r="34" ht="15.75" customHeight="1">
      <c r="A34" s="15">
        <v>2.0</v>
      </c>
      <c r="B34" s="33">
        <f>A34*B6</f>
        <v>800</v>
      </c>
      <c r="C34" s="33">
        <f>A34*B7</f>
        <v>1300</v>
      </c>
      <c r="D34" s="32">
        <f>A34*B9</f>
        <v>10</v>
      </c>
      <c r="E34" s="32" t="str">
        <f>IF(A34*B9&gt;B23,"OVER — hire required",IF(A34*B8&gt;B23,"OK (tight during ramp)","OK"))</f>
        <v>OK</v>
      </c>
      <c r="F34" s="33">
        <f>A34*B7*(1-B16)-B21</f>
        <v>1097</v>
      </c>
    </row>
    <row r="35" ht="15.75" customHeight="1">
      <c r="A35" s="11">
        <v>4.0</v>
      </c>
      <c r="B35" s="30">
        <f>A35*B6</f>
        <v>1600</v>
      </c>
      <c r="C35" s="30">
        <f>A35*B7</f>
        <v>2600</v>
      </c>
      <c r="D35" s="28">
        <f>A35*B9</f>
        <v>20</v>
      </c>
      <c r="E35" s="28" t="str">
        <f>IF(A35*B9&gt;B23,"OVER — hire required",IF(A35*B8&gt;B23,"OK (tight during ramp)","OK"))</f>
        <v>OK</v>
      </c>
      <c r="F35" s="30">
        <f>A35*B7*(1-B16)-B21</f>
        <v>2384</v>
      </c>
    </row>
    <row r="36" ht="15.75" customHeight="1">
      <c r="A36" s="15">
        <v>6.0</v>
      </c>
      <c r="B36" s="33">
        <f>A36*B6</f>
        <v>2400</v>
      </c>
      <c r="C36" s="33">
        <f>A36*B7</f>
        <v>3900</v>
      </c>
      <c r="D36" s="32">
        <f>A36*B9</f>
        <v>30</v>
      </c>
      <c r="E36" s="32" t="str">
        <f>IF(A36*B9&gt;B23,"OVER — hire required",IF(A36*B8&gt;B23,"OK (tight during ramp)","OK"))</f>
        <v>OK</v>
      </c>
      <c r="F36" s="33">
        <f>A36*B7*(1-B16)-B21</f>
        <v>3671</v>
      </c>
    </row>
    <row r="37" ht="15.75" customHeight="1">
      <c r="A37" s="11">
        <v>8.0</v>
      </c>
      <c r="B37" s="30">
        <f>A37*B6</f>
        <v>3200</v>
      </c>
      <c r="C37" s="30">
        <f>A37*B7</f>
        <v>5200</v>
      </c>
      <c r="D37" s="28">
        <f>A37*B9</f>
        <v>40</v>
      </c>
      <c r="E37" s="28" t="str">
        <f>IF(A37*B9&gt;B23,"OVER — hire required",IF(A37*B8&gt;B23,"OK (tight during ramp)","OK"))</f>
        <v>OK</v>
      </c>
      <c r="F37" s="30">
        <f>A37*B7*(1-B16)-B21</f>
        <v>4958</v>
      </c>
    </row>
    <row r="38" ht="15.75" customHeight="1">
      <c r="A38" s="15">
        <v>10.0</v>
      </c>
      <c r="B38" s="33">
        <f>A38*B6</f>
        <v>4000</v>
      </c>
      <c r="C38" s="33">
        <f>A38*B7</f>
        <v>6500</v>
      </c>
      <c r="D38" s="32">
        <f>A38*B9</f>
        <v>50</v>
      </c>
      <c r="E38" s="32" t="str">
        <f>IF(A38*B9&gt;B23,"OVER — hire required",IF(A38*B8&gt;B23,"OK (tight during ramp)","OK"))</f>
        <v>OK (tight during ramp)</v>
      </c>
      <c r="F38" s="33">
        <f>A38*B7*(1-B16)-B21</f>
        <v>6245</v>
      </c>
    </row>
    <row r="39" ht="15.75" customHeight="1">
      <c r="A39" s="11">
        <v>12.0</v>
      </c>
      <c r="B39" s="30">
        <f>A39*B6</f>
        <v>4800</v>
      </c>
      <c r="C39" s="30">
        <f>A39*B7</f>
        <v>7800</v>
      </c>
      <c r="D39" s="28">
        <f>A39*B9</f>
        <v>60</v>
      </c>
      <c r="E39" s="28" t="str">
        <f>IF(A39*B9&gt;B23,"OVER — hire required",IF(A39*B8&gt;B23,"OK (tight during ramp)","OK"))</f>
        <v>OK (tight during ramp)</v>
      </c>
      <c r="F39" s="30">
        <f>A39*B7*(1-B16)-B21</f>
        <v>7532</v>
      </c>
    </row>
    <row r="40" ht="15.75" customHeight="1">
      <c r="A40" s="15">
        <v>14.0</v>
      </c>
      <c r="B40" s="33">
        <f>A40*B6</f>
        <v>5600</v>
      </c>
      <c r="C40" s="33">
        <f>A40*B7</f>
        <v>9100</v>
      </c>
      <c r="D40" s="32">
        <f>A40*B9</f>
        <v>70</v>
      </c>
      <c r="E40" s="32" t="str">
        <f>IF(A40*B9&gt;B23,"OVER — hire required",IF(A40*B8&gt;B23,"OK (tight during ramp)","OK"))</f>
        <v>OK (tight during ramp)</v>
      </c>
      <c r="F40" s="33">
        <f>A40*B7*(1-B16)-B21</f>
        <v>8819</v>
      </c>
    </row>
    <row r="41" ht="15.75" customHeight="1">
      <c r="A41" s="11">
        <v>16.0</v>
      </c>
      <c r="B41" s="30">
        <f>A41*B6</f>
        <v>6400</v>
      </c>
      <c r="C41" s="30">
        <f>A41*B7</f>
        <v>10400</v>
      </c>
      <c r="D41" s="28">
        <f>A41*B9</f>
        <v>80</v>
      </c>
      <c r="E41" s="28" t="str">
        <f>IF(A41*B9&gt;B23,"OVER — hire required",IF(A41*B8&gt;B23,"OK (tight during ramp)","OK"))</f>
        <v>OVER — hire required</v>
      </c>
      <c r="F41" s="30">
        <f>A41*B7*(1-B16)-B21</f>
        <v>10106</v>
      </c>
    </row>
    <row r="42" ht="15.75" customHeight="1">
      <c r="A42" s="15">
        <v>20.0</v>
      </c>
      <c r="B42" s="33">
        <f>A42*B6</f>
        <v>8000</v>
      </c>
      <c r="C42" s="33">
        <f>A42*B7</f>
        <v>13000</v>
      </c>
      <c r="D42" s="32">
        <f>A42*B9</f>
        <v>100</v>
      </c>
      <c r="E42" s="32" t="str">
        <f>IF(A42*B9&gt;B23,"OVER — hire required",IF(A42*B8&gt;B23,"OK (tight during ramp)","OK"))</f>
        <v>OVER — hire required</v>
      </c>
      <c r="F42" s="33">
        <f>A42*B7*(1-B16)-B21</f>
        <v>12680</v>
      </c>
    </row>
    <row r="43" ht="111.75" customHeight="1">
      <c r="A43" s="8" t="s">
        <v>883</v>
      </c>
    </row>
    <row r="44" ht="7.5" customHeight="1"/>
    <row r="45" ht="13.5" customHeight="1">
      <c r="A45" s="19" t="s">
        <v>884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F1"/>
    <mergeCell ref="A2:F2"/>
    <mergeCell ref="A4:F4"/>
    <mergeCell ref="D6:F6"/>
    <mergeCell ref="D7:F7"/>
    <mergeCell ref="D8:F8"/>
    <mergeCell ref="D9:F9"/>
    <mergeCell ref="D10:F10"/>
    <mergeCell ref="D11:F11"/>
    <mergeCell ref="D12:F12"/>
    <mergeCell ref="D13:F13"/>
    <mergeCell ref="D14:F14"/>
    <mergeCell ref="D15:F15"/>
    <mergeCell ref="D16:F16"/>
    <mergeCell ref="D26:F26"/>
    <mergeCell ref="D27:F27"/>
    <mergeCell ref="D28:F28"/>
    <mergeCell ref="D29:F29"/>
    <mergeCell ref="A31:F31"/>
    <mergeCell ref="A43:F43"/>
    <mergeCell ref="A45:F45"/>
    <mergeCell ref="D17:F17"/>
    <mergeCell ref="A19:F19"/>
    <mergeCell ref="D21:F21"/>
    <mergeCell ref="D22:F22"/>
    <mergeCell ref="D23:F23"/>
    <mergeCell ref="D24:F24"/>
    <mergeCell ref="D25:F25"/>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sheetViews>
  <sheetFormatPr customHeight="1" defaultColWidth="14.43" defaultRowHeight="15.0"/>
  <cols>
    <col customWidth="1" min="1" max="1" width="14.0"/>
    <col customWidth="1" min="2" max="4" width="13.0"/>
    <col customWidth="1" min="5" max="7" width="15.0"/>
    <col customWidth="1" min="8" max="8" width="14.0"/>
    <col customWidth="1" min="9" max="9" width="15.0"/>
    <col customWidth="1" min="10" max="26" width="8.71"/>
  </cols>
  <sheetData>
    <row r="1" ht="30.0" customHeight="1">
      <c r="A1" s="1" t="s">
        <v>435</v>
      </c>
      <c r="B1" s="2"/>
      <c r="C1" s="2"/>
      <c r="D1" s="2"/>
      <c r="E1" s="2"/>
      <c r="F1" s="2"/>
      <c r="G1" s="2"/>
      <c r="H1" s="2"/>
      <c r="I1" s="3"/>
    </row>
    <row r="2" ht="15.75" customHeight="1">
      <c r="A2" s="4" t="s">
        <v>457</v>
      </c>
    </row>
    <row r="4" ht="21.75" customHeight="1">
      <c r="A4" s="5" t="s">
        <v>470</v>
      </c>
      <c r="B4" s="6"/>
      <c r="C4" s="6"/>
      <c r="D4" s="6"/>
      <c r="E4" s="6"/>
      <c r="F4" s="6"/>
      <c r="G4" s="6"/>
      <c r="H4" s="6"/>
      <c r="I4" s="7"/>
    </row>
    <row r="5">
      <c r="A5" s="11" t="s">
        <v>484</v>
      </c>
      <c r="B5" s="23">
        <f>'7. Financial Model'!B21</f>
        <v>190</v>
      </c>
      <c r="C5" s="12" t="s">
        <v>25</v>
      </c>
      <c r="D5" s="12" t="s">
        <v>522</v>
      </c>
      <c r="E5" s="27">
        <f>'7. Financial Model'!B16</f>
        <v>0.01</v>
      </c>
      <c r="F5" s="12" t="s">
        <v>25</v>
      </c>
      <c r="G5" s="13" t="s">
        <v>545</v>
      </c>
      <c r="H5" s="16"/>
      <c r="I5" s="14"/>
    </row>
    <row r="6" ht="7.5" customHeight="1"/>
    <row r="7" ht="21.75" customHeight="1">
      <c r="A7" s="5" t="s">
        <v>552</v>
      </c>
      <c r="B7" s="6"/>
      <c r="C7" s="6"/>
      <c r="D7" s="6"/>
      <c r="E7" s="6"/>
      <c r="F7" s="6"/>
      <c r="G7" s="6"/>
      <c r="H7" s="6"/>
      <c r="I7" s="7"/>
    </row>
    <row r="8" ht="19.5" customHeight="1">
      <c r="A8" s="9" t="s">
        <v>561</v>
      </c>
      <c r="B8" s="10" t="s">
        <v>563</v>
      </c>
      <c r="C8" s="10" t="s">
        <v>564</v>
      </c>
      <c r="D8" s="10" t="s">
        <v>565</v>
      </c>
      <c r="E8" s="10" t="s">
        <v>566</v>
      </c>
      <c r="F8" s="10" t="s">
        <v>567</v>
      </c>
      <c r="G8" s="10" t="s">
        <v>121</v>
      </c>
      <c r="H8" s="10" t="s">
        <v>569</v>
      </c>
      <c r="I8" s="10" t="s">
        <v>570</v>
      </c>
    </row>
    <row r="9">
      <c r="A9" s="11" t="s">
        <v>572</v>
      </c>
      <c r="B9" s="21">
        <v>1.0</v>
      </c>
      <c r="C9" s="28">
        <f>B9</f>
        <v>1</v>
      </c>
      <c r="D9" s="20">
        <v>400.0</v>
      </c>
      <c r="E9" s="30">
        <f t="shared" ref="E9:E20" si="1">C9*D9</f>
        <v>400</v>
      </c>
      <c r="F9" s="20">
        <v>0.0</v>
      </c>
      <c r="G9" s="30">
        <f t="shared" ref="G9:G20" si="2">E9+F9</f>
        <v>400</v>
      </c>
      <c r="H9" s="30">
        <f t="shared" ref="H9:H20" si="3">$B$5+G9*$E$5</f>
        <v>194</v>
      </c>
      <c r="I9" s="30">
        <f t="shared" ref="I9:I20" si="4">G9-H9</f>
        <v>206</v>
      </c>
    </row>
    <row r="10">
      <c r="A10" s="15" t="s">
        <v>591</v>
      </c>
      <c r="B10" s="21">
        <v>1.0</v>
      </c>
      <c r="C10" s="32">
        <f t="shared" ref="C10:C20" si="5">C9+B10</f>
        <v>2</v>
      </c>
      <c r="D10" s="20">
        <v>400.0</v>
      </c>
      <c r="E10" s="33">
        <f t="shared" si="1"/>
        <v>800</v>
      </c>
      <c r="F10" s="20">
        <v>2500.0</v>
      </c>
      <c r="G10" s="33">
        <f t="shared" si="2"/>
        <v>3300</v>
      </c>
      <c r="H10" s="33">
        <f t="shared" si="3"/>
        <v>223</v>
      </c>
      <c r="I10" s="33">
        <f t="shared" si="4"/>
        <v>3077</v>
      </c>
    </row>
    <row r="11">
      <c r="A11" s="11" t="s">
        <v>619</v>
      </c>
      <c r="B11" s="21">
        <v>1.0</v>
      </c>
      <c r="C11" s="28">
        <f t="shared" si="5"/>
        <v>3</v>
      </c>
      <c r="D11" s="20">
        <v>400.0</v>
      </c>
      <c r="E11" s="30">
        <f t="shared" si="1"/>
        <v>1200</v>
      </c>
      <c r="F11" s="20">
        <v>0.0</v>
      </c>
      <c r="G11" s="30">
        <f t="shared" si="2"/>
        <v>1200</v>
      </c>
      <c r="H11" s="30">
        <f t="shared" si="3"/>
        <v>202</v>
      </c>
      <c r="I11" s="30">
        <f t="shared" si="4"/>
        <v>998</v>
      </c>
    </row>
    <row r="12">
      <c r="A12" s="15" t="s">
        <v>646</v>
      </c>
      <c r="B12" s="21">
        <v>0.0</v>
      </c>
      <c r="C12" s="32">
        <f t="shared" si="5"/>
        <v>3</v>
      </c>
      <c r="D12" s="20">
        <v>400.0</v>
      </c>
      <c r="E12" s="33">
        <f t="shared" si="1"/>
        <v>1200</v>
      </c>
      <c r="F12" s="20">
        <v>2500.0</v>
      </c>
      <c r="G12" s="33">
        <f t="shared" si="2"/>
        <v>3700</v>
      </c>
      <c r="H12" s="33">
        <f t="shared" si="3"/>
        <v>227</v>
      </c>
      <c r="I12" s="33">
        <f t="shared" si="4"/>
        <v>3473</v>
      </c>
    </row>
    <row r="13">
      <c r="A13" s="11" t="s">
        <v>658</v>
      </c>
      <c r="B13" s="21">
        <v>1.0</v>
      </c>
      <c r="C13" s="28">
        <f t="shared" si="5"/>
        <v>4</v>
      </c>
      <c r="D13" s="20">
        <v>400.0</v>
      </c>
      <c r="E13" s="30">
        <f t="shared" si="1"/>
        <v>1600</v>
      </c>
      <c r="F13" s="20">
        <v>0.0</v>
      </c>
      <c r="G13" s="30">
        <f t="shared" si="2"/>
        <v>1600</v>
      </c>
      <c r="H13" s="30">
        <f t="shared" si="3"/>
        <v>206</v>
      </c>
      <c r="I13" s="30">
        <f t="shared" si="4"/>
        <v>1394</v>
      </c>
    </row>
    <row r="14">
      <c r="A14" s="15" t="s">
        <v>677</v>
      </c>
      <c r="B14" s="21">
        <v>1.0</v>
      </c>
      <c r="C14" s="32">
        <f t="shared" si="5"/>
        <v>5</v>
      </c>
      <c r="D14" s="20">
        <v>400.0</v>
      </c>
      <c r="E14" s="33">
        <f t="shared" si="1"/>
        <v>2000</v>
      </c>
      <c r="F14" s="20">
        <v>2500.0</v>
      </c>
      <c r="G14" s="33">
        <f t="shared" si="2"/>
        <v>4500</v>
      </c>
      <c r="H14" s="33">
        <f t="shared" si="3"/>
        <v>235</v>
      </c>
      <c r="I14" s="33">
        <f t="shared" si="4"/>
        <v>4265</v>
      </c>
    </row>
    <row r="15">
      <c r="A15" s="11" t="s">
        <v>691</v>
      </c>
      <c r="B15" s="21">
        <v>1.0</v>
      </c>
      <c r="C15" s="28">
        <f t="shared" si="5"/>
        <v>6</v>
      </c>
      <c r="D15" s="20">
        <v>425.0</v>
      </c>
      <c r="E15" s="30">
        <f t="shared" si="1"/>
        <v>2550</v>
      </c>
      <c r="F15" s="20">
        <v>0.0</v>
      </c>
      <c r="G15" s="30">
        <f t="shared" si="2"/>
        <v>2550</v>
      </c>
      <c r="H15" s="30">
        <f t="shared" si="3"/>
        <v>215.5</v>
      </c>
      <c r="I15" s="30">
        <f t="shared" si="4"/>
        <v>2334.5</v>
      </c>
    </row>
    <row r="16">
      <c r="A16" s="15" t="s">
        <v>699</v>
      </c>
      <c r="B16" s="21">
        <v>0.0</v>
      </c>
      <c r="C16" s="32">
        <f t="shared" si="5"/>
        <v>6</v>
      </c>
      <c r="D16" s="20">
        <v>425.0</v>
      </c>
      <c r="E16" s="33">
        <f t="shared" si="1"/>
        <v>2550</v>
      </c>
      <c r="F16" s="20">
        <v>2500.0</v>
      </c>
      <c r="G16" s="33">
        <f t="shared" si="2"/>
        <v>5050</v>
      </c>
      <c r="H16" s="33">
        <f t="shared" si="3"/>
        <v>240.5</v>
      </c>
      <c r="I16" s="33">
        <f t="shared" si="4"/>
        <v>4809.5</v>
      </c>
    </row>
    <row r="17">
      <c r="A17" s="11" t="s">
        <v>712</v>
      </c>
      <c r="B17" s="21">
        <v>1.0</v>
      </c>
      <c r="C17" s="28">
        <f t="shared" si="5"/>
        <v>7</v>
      </c>
      <c r="D17" s="20">
        <v>425.0</v>
      </c>
      <c r="E17" s="30">
        <f t="shared" si="1"/>
        <v>2975</v>
      </c>
      <c r="F17" s="20">
        <v>0.0</v>
      </c>
      <c r="G17" s="30">
        <f t="shared" si="2"/>
        <v>2975</v>
      </c>
      <c r="H17" s="30">
        <f t="shared" si="3"/>
        <v>219.75</v>
      </c>
      <c r="I17" s="30">
        <f t="shared" si="4"/>
        <v>2755.25</v>
      </c>
    </row>
    <row r="18">
      <c r="A18" s="15" t="s">
        <v>725</v>
      </c>
      <c r="B18" s="21">
        <v>1.0</v>
      </c>
      <c r="C18" s="32">
        <f t="shared" si="5"/>
        <v>8</v>
      </c>
      <c r="D18" s="20">
        <v>450.0</v>
      </c>
      <c r="E18" s="33">
        <f t="shared" si="1"/>
        <v>3600</v>
      </c>
      <c r="F18" s="20">
        <v>2500.0</v>
      </c>
      <c r="G18" s="33">
        <f t="shared" si="2"/>
        <v>6100</v>
      </c>
      <c r="H18" s="33">
        <f t="shared" si="3"/>
        <v>251</v>
      </c>
      <c r="I18" s="33">
        <f t="shared" si="4"/>
        <v>5849</v>
      </c>
    </row>
    <row r="19">
      <c r="A19" s="11" t="s">
        <v>742</v>
      </c>
      <c r="B19" s="21">
        <v>0.0</v>
      </c>
      <c r="C19" s="28">
        <f t="shared" si="5"/>
        <v>8</v>
      </c>
      <c r="D19" s="20">
        <v>450.0</v>
      </c>
      <c r="E19" s="30">
        <f t="shared" si="1"/>
        <v>3600</v>
      </c>
      <c r="F19" s="20">
        <v>0.0</v>
      </c>
      <c r="G19" s="30">
        <f t="shared" si="2"/>
        <v>3600</v>
      </c>
      <c r="H19" s="30">
        <f t="shared" si="3"/>
        <v>226</v>
      </c>
      <c r="I19" s="30">
        <f t="shared" si="4"/>
        <v>3374</v>
      </c>
    </row>
    <row r="20">
      <c r="A20" s="15" t="s">
        <v>747</v>
      </c>
      <c r="B20" s="21">
        <v>1.0</v>
      </c>
      <c r="C20" s="32">
        <f t="shared" si="5"/>
        <v>9</v>
      </c>
      <c r="D20" s="20">
        <v>450.0</v>
      </c>
      <c r="E20" s="33">
        <f t="shared" si="1"/>
        <v>4050</v>
      </c>
      <c r="F20" s="20">
        <v>2500.0</v>
      </c>
      <c r="G20" s="33">
        <f t="shared" si="2"/>
        <v>6550</v>
      </c>
      <c r="H20" s="33">
        <f t="shared" si="3"/>
        <v>255.5</v>
      </c>
      <c r="I20" s="33">
        <f t="shared" si="4"/>
        <v>6294.5</v>
      </c>
    </row>
    <row r="21" ht="15.75" customHeight="1">
      <c r="A21" s="37" t="s">
        <v>748</v>
      </c>
      <c r="B21" s="38">
        <f>SUM(B9:B20)</f>
        <v>9</v>
      </c>
      <c r="C21" s="39" t="s">
        <v>25</v>
      </c>
      <c r="D21" s="39" t="s">
        <v>25</v>
      </c>
      <c r="E21" s="40">
        <f t="shared" ref="E21:H21" si="6">SUM(E9:E20)</f>
        <v>26525</v>
      </c>
      <c r="F21" s="40">
        <f t="shared" si="6"/>
        <v>15000</v>
      </c>
      <c r="G21" s="40">
        <f t="shared" si="6"/>
        <v>41525</v>
      </c>
      <c r="H21" s="40">
        <f t="shared" si="6"/>
        <v>2695.25</v>
      </c>
      <c r="I21" s="40">
        <f>SUM(G9:G20)-SUM(H9:H20)</f>
        <v>38829.75</v>
      </c>
    </row>
    <row r="22" ht="60.0" customHeight="1">
      <c r="A22" s="8" t="s">
        <v>750</v>
      </c>
    </row>
    <row r="23" ht="7.5" customHeight="1"/>
    <row r="24" ht="21.75" customHeight="1">
      <c r="A24" s="5" t="s">
        <v>751</v>
      </c>
      <c r="B24" s="6"/>
      <c r="C24" s="6"/>
      <c r="D24" s="6"/>
      <c r="E24" s="6"/>
      <c r="F24" s="6"/>
      <c r="G24" s="6"/>
      <c r="H24" s="6"/>
      <c r="I24" s="7"/>
    </row>
    <row r="25" ht="19.5" customHeight="1">
      <c r="A25" s="9" t="s">
        <v>754</v>
      </c>
      <c r="B25" s="10" t="s">
        <v>755</v>
      </c>
      <c r="C25" s="10" t="s">
        <v>756</v>
      </c>
      <c r="D25" s="10" t="s">
        <v>758</v>
      </c>
      <c r="E25" s="10" t="s">
        <v>760</v>
      </c>
      <c r="F25" s="10" t="s">
        <v>761</v>
      </c>
      <c r="G25" s="10" t="s">
        <v>762</v>
      </c>
      <c r="H25" s="10" t="s">
        <v>764</v>
      </c>
      <c r="I25" s="10" t="s">
        <v>765</v>
      </c>
    </row>
    <row r="26" ht="15.75" customHeight="1">
      <c r="A26" s="11" t="s">
        <v>767</v>
      </c>
      <c r="B26" s="21">
        <v>10.0</v>
      </c>
      <c r="C26" s="20">
        <v>500.0</v>
      </c>
      <c r="D26" s="30">
        <f t="shared" ref="D26:D28" si="7">B26*C26*12*0.92+15000</f>
        <v>70200</v>
      </c>
      <c r="E26" s="21">
        <v>12.0</v>
      </c>
      <c r="F26" s="20">
        <v>550.0</v>
      </c>
      <c r="G26" s="30">
        <f t="shared" ref="G26:G28" si="8">E26*F26*12*0.92+20000</f>
        <v>92864</v>
      </c>
      <c r="H26" s="30">
        <f>G26-'7. Financial Model'!B21*12-IF(E26&gt;'7. Financial Model'!B24,E26*12*90,0)</f>
        <v>90584</v>
      </c>
      <c r="I26" s="12" t="s">
        <v>787</v>
      </c>
    </row>
    <row r="27" ht="15.75" customHeight="1">
      <c r="A27" s="15" t="s">
        <v>790</v>
      </c>
      <c r="B27" s="21">
        <v>13.0</v>
      </c>
      <c r="C27" s="20">
        <v>550.0</v>
      </c>
      <c r="D27" s="33">
        <f t="shared" si="7"/>
        <v>93936</v>
      </c>
      <c r="E27" s="21">
        <v>15.0</v>
      </c>
      <c r="F27" s="20">
        <v>650.0</v>
      </c>
      <c r="G27" s="33">
        <f t="shared" si="8"/>
        <v>127640</v>
      </c>
      <c r="H27" s="33">
        <f>G27-'7. Financial Model'!B21*12-IF(E27&gt;'7. Financial Model'!B24,E27*12*90,0)</f>
        <v>125360</v>
      </c>
      <c r="I27" s="17" t="s">
        <v>804</v>
      </c>
    </row>
    <row r="28" ht="15.75" customHeight="1">
      <c r="A28" s="11" t="s">
        <v>808</v>
      </c>
      <c r="B28" s="21">
        <v>16.0</v>
      </c>
      <c r="C28" s="20">
        <v>600.0</v>
      </c>
      <c r="D28" s="30">
        <f t="shared" si="7"/>
        <v>120984</v>
      </c>
      <c r="E28" s="21">
        <v>22.0</v>
      </c>
      <c r="F28" s="20">
        <v>700.0</v>
      </c>
      <c r="G28" s="30">
        <f t="shared" si="8"/>
        <v>190016</v>
      </c>
      <c r="H28" s="30">
        <f>G28-'7. Financial Model'!B21*12-IF(E28&gt;'7. Financial Model'!B24,E28*12*90,0)</f>
        <v>163976</v>
      </c>
      <c r="I28" s="12" t="s">
        <v>831</v>
      </c>
    </row>
    <row r="29" ht="189.75" customHeight="1">
      <c r="A29" s="8" t="s">
        <v>837</v>
      </c>
    </row>
    <row r="30" ht="7.5" customHeight="1"/>
    <row r="31" ht="13.5" customHeight="1">
      <c r="A31" s="19" t="s">
        <v>842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29:I29"/>
    <mergeCell ref="A31:I31"/>
    <mergeCell ref="A1:I1"/>
    <mergeCell ref="A2:I2"/>
    <mergeCell ref="A4:I4"/>
    <mergeCell ref="G5:I5"/>
    <mergeCell ref="A7:I7"/>
    <mergeCell ref="A22:I22"/>
    <mergeCell ref="A24:I24"/>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pageSetUpPr/>
  </sheetPr>
  <sheetViews>
    <sheetView workbookViewId="0"/>
  </sheetViews>
  <sheetFormatPr customHeight="1" defaultColWidth="14.43" defaultRowHeight="15.0"/>
  <cols>
    <col customWidth="1" min="1" max="1" width="30.0"/>
    <col customWidth="1" min="2" max="2" width="16.0"/>
    <col customWidth="1" min="3" max="3" width="48.0"/>
    <col customWidth="1" min="4" max="4" width="30.0"/>
    <col customWidth="1" min="5" max="26" width="8.71"/>
  </cols>
  <sheetData>
    <row r="1" ht="30.0" customHeight="1">
      <c r="A1" s="1" t="s">
        <v>575</v>
      </c>
      <c r="B1" s="2"/>
      <c r="C1" s="2"/>
      <c r="D1" s="3"/>
    </row>
    <row r="2" ht="15.75" customHeight="1">
      <c r="A2" s="4" t="s">
        <v>577</v>
      </c>
    </row>
    <row r="4" ht="21.75" customHeight="1">
      <c r="A4" s="5" t="s">
        <v>578</v>
      </c>
      <c r="B4" s="6"/>
      <c r="C4" s="6"/>
      <c r="D4" s="7"/>
    </row>
    <row r="5" ht="19.5" customHeight="1">
      <c r="A5" s="9" t="s">
        <v>13</v>
      </c>
      <c r="B5" s="10" t="s">
        <v>241</v>
      </c>
      <c r="C5" s="10" t="s">
        <v>21</v>
      </c>
      <c r="D5" s="10" t="s">
        <v>124</v>
      </c>
    </row>
    <row r="6">
      <c r="A6" s="11" t="s">
        <v>580</v>
      </c>
      <c r="B6" s="12" t="s">
        <v>250</v>
      </c>
      <c r="C6" s="12" t="s">
        <v>582</v>
      </c>
      <c r="D6" s="12" t="s">
        <v>583</v>
      </c>
    </row>
    <row r="7">
      <c r="A7" s="15" t="s">
        <v>584</v>
      </c>
      <c r="B7" s="17" t="s">
        <v>250</v>
      </c>
      <c r="C7" s="17" t="s">
        <v>585</v>
      </c>
      <c r="D7" s="17" t="s">
        <v>255</v>
      </c>
    </row>
    <row r="8">
      <c r="A8" s="11" t="s">
        <v>586</v>
      </c>
      <c r="B8" s="12" t="s">
        <v>587</v>
      </c>
      <c r="C8" s="12" t="s">
        <v>589</v>
      </c>
      <c r="D8" s="12" t="s">
        <v>590</v>
      </c>
    </row>
    <row r="9">
      <c r="A9" s="15" t="s">
        <v>260</v>
      </c>
      <c r="B9" s="17" t="s">
        <v>250</v>
      </c>
      <c r="C9" s="17" t="s">
        <v>593</v>
      </c>
      <c r="D9" s="17" t="s">
        <v>594</v>
      </c>
    </row>
    <row r="10">
      <c r="A10" s="11" t="s">
        <v>595</v>
      </c>
      <c r="B10" s="12" t="s">
        <v>596</v>
      </c>
      <c r="C10" s="12" t="s">
        <v>597</v>
      </c>
      <c r="D10" s="12" t="s">
        <v>598</v>
      </c>
    </row>
    <row r="11">
      <c r="A11" s="15" t="s">
        <v>600</v>
      </c>
      <c r="B11" s="17" t="s">
        <v>601</v>
      </c>
      <c r="C11" s="17" t="s">
        <v>602</v>
      </c>
      <c r="D11" s="17" t="s">
        <v>603</v>
      </c>
    </row>
    <row r="12">
      <c r="A12" s="11" t="s">
        <v>605</v>
      </c>
      <c r="B12" s="12" t="s">
        <v>606</v>
      </c>
      <c r="C12" s="12" t="s">
        <v>607</v>
      </c>
      <c r="D12" s="12" t="s">
        <v>608</v>
      </c>
    </row>
    <row r="13">
      <c r="A13" s="15" t="s">
        <v>609</v>
      </c>
      <c r="B13" s="17" t="s">
        <v>610</v>
      </c>
      <c r="C13" s="17" t="s">
        <v>612</v>
      </c>
      <c r="D13" s="17" t="s">
        <v>613</v>
      </c>
    </row>
    <row r="14">
      <c r="A14" s="24" t="s">
        <v>615</v>
      </c>
      <c r="B14" s="25" t="s">
        <v>90</v>
      </c>
      <c r="C14" s="25" t="s">
        <v>616</v>
      </c>
      <c r="D14" s="25" t="s">
        <v>287</v>
      </c>
    </row>
    <row r="15" ht="7.5" customHeight="1"/>
    <row r="16" ht="21.75" customHeight="1">
      <c r="A16" s="5" t="s">
        <v>618</v>
      </c>
      <c r="B16" s="6"/>
      <c r="C16" s="6"/>
      <c r="D16" s="7"/>
    </row>
    <row r="17" ht="19.5" customHeight="1">
      <c r="A17" s="9" t="s">
        <v>620</v>
      </c>
      <c r="B17" s="10" t="s">
        <v>621</v>
      </c>
      <c r="C17" s="10" t="s">
        <v>623</v>
      </c>
      <c r="D17" s="10" t="s">
        <v>625</v>
      </c>
    </row>
    <row r="18">
      <c r="A18" s="11" t="s">
        <v>626</v>
      </c>
      <c r="B18" s="12" t="s">
        <v>627</v>
      </c>
      <c r="C18" s="12" t="s">
        <v>629</v>
      </c>
      <c r="D18" s="12" t="s">
        <v>630</v>
      </c>
    </row>
    <row r="19">
      <c r="A19" s="15" t="s">
        <v>631</v>
      </c>
      <c r="B19" s="17" t="s">
        <v>632</v>
      </c>
      <c r="C19" s="17" t="s">
        <v>633</v>
      </c>
      <c r="D19" s="17" t="s">
        <v>635</v>
      </c>
    </row>
    <row r="20">
      <c r="A20" s="11" t="s">
        <v>636</v>
      </c>
      <c r="B20" s="12" t="s">
        <v>637</v>
      </c>
      <c r="C20" s="12" t="s">
        <v>638</v>
      </c>
      <c r="D20" s="12" t="s">
        <v>640</v>
      </c>
    </row>
    <row r="21" ht="15.75" customHeight="1">
      <c r="A21" s="15" t="s">
        <v>643</v>
      </c>
      <c r="B21" s="17" t="s">
        <v>644</v>
      </c>
      <c r="C21" s="17" t="s">
        <v>645</v>
      </c>
      <c r="D21" s="17" t="s">
        <v>649</v>
      </c>
    </row>
    <row r="22" ht="7.5" customHeight="1"/>
    <row r="23" ht="21.75" customHeight="1">
      <c r="A23" s="5" t="s">
        <v>650</v>
      </c>
      <c r="B23" s="6"/>
      <c r="C23" s="6"/>
      <c r="D23" s="7"/>
    </row>
    <row r="24" ht="96.0" customHeight="1">
      <c r="A24" s="8" t="s">
        <v>653</v>
      </c>
    </row>
    <row r="25" ht="7.5" customHeight="1"/>
    <row r="26" ht="21.75" customHeight="1">
      <c r="A26" s="5" t="s">
        <v>654</v>
      </c>
      <c r="B26" s="6"/>
      <c r="C26" s="6"/>
      <c r="D26" s="7"/>
    </row>
    <row r="27" ht="19.5" customHeight="1">
      <c r="A27" s="9" t="s">
        <v>13</v>
      </c>
      <c r="B27" s="10" t="s">
        <v>241</v>
      </c>
      <c r="C27" s="10" t="s">
        <v>659</v>
      </c>
      <c r="D27" s="10" t="s">
        <v>238</v>
      </c>
    </row>
    <row r="28" ht="15.75" customHeight="1">
      <c r="A28" s="11" t="s">
        <v>662</v>
      </c>
      <c r="B28" s="12" t="s">
        <v>663</v>
      </c>
      <c r="C28" s="12" t="s">
        <v>665</v>
      </c>
      <c r="D28" s="12" t="s">
        <v>666</v>
      </c>
    </row>
    <row r="29" ht="15.75" customHeight="1">
      <c r="A29" s="15" t="s">
        <v>669</v>
      </c>
      <c r="B29" s="17" t="s">
        <v>671</v>
      </c>
      <c r="C29" s="17" t="s">
        <v>674</v>
      </c>
      <c r="D29" s="17" t="s">
        <v>676</v>
      </c>
    </row>
    <row r="30" ht="15.75" customHeight="1">
      <c r="A30" s="11" t="s">
        <v>679</v>
      </c>
      <c r="B30" s="12" t="s">
        <v>681</v>
      </c>
      <c r="C30" s="12" t="s">
        <v>682</v>
      </c>
      <c r="D30" s="12" t="s">
        <v>683</v>
      </c>
    </row>
    <row r="31" ht="15.75" customHeight="1">
      <c r="A31" s="15" t="s">
        <v>684</v>
      </c>
      <c r="B31" s="17" t="s">
        <v>685</v>
      </c>
      <c r="C31" s="17" t="s">
        <v>687</v>
      </c>
      <c r="D31" s="17" t="s">
        <v>688</v>
      </c>
    </row>
    <row r="32" ht="7.5" customHeight="1"/>
    <row r="33" ht="13.5" customHeight="1">
      <c r="A33" s="19" t="s">
        <v>689</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D1"/>
    <mergeCell ref="A2:D2"/>
    <mergeCell ref="A4:D4"/>
    <mergeCell ref="A16:D16"/>
    <mergeCell ref="A23:D23"/>
    <mergeCell ref="A24:D24"/>
    <mergeCell ref="A26:D26"/>
    <mergeCell ref="A33:D33"/>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1C1C"/>
    <pageSetUpPr/>
  </sheetPr>
  <sheetViews>
    <sheetView workbookViewId="0"/>
  </sheetViews>
  <sheetFormatPr customHeight="1" defaultColWidth="14.43" defaultRowHeight="15.0"/>
  <cols>
    <col customWidth="1" min="1" max="1" width="30.0"/>
    <col customWidth="1" min="2" max="2" width="14.0"/>
    <col customWidth="1" min="3" max="3" width="46.0"/>
    <col customWidth="1" min="4" max="4" width="34.0"/>
    <col customWidth="1" min="5" max="26" width="8.71"/>
  </cols>
  <sheetData>
    <row r="1" ht="30.0" customHeight="1">
      <c r="A1" s="1" t="s">
        <v>634</v>
      </c>
      <c r="B1" s="2"/>
      <c r="C1" s="2"/>
      <c r="D1" s="3"/>
    </row>
    <row r="2" ht="15.75" customHeight="1">
      <c r="A2" s="4" t="s">
        <v>639</v>
      </c>
    </row>
    <row r="4" ht="21.75" customHeight="1">
      <c r="A4" s="5" t="s">
        <v>642</v>
      </c>
      <c r="B4" s="6"/>
      <c r="C4" s="6"/>
      <c r="D4" s="7"/>
    </row>
    <row r="5" ht="19.5" customHeight="1">
      <c r="A5" s="9" t="s">
        <v>648</v>
      </c>
      <c r="B5" s="10" t="s">
        <v>25</v>
      </c>
      <c r="C5" s="10" t="s">
        <v>651</v>
      </c>
      <c r="D5" s="10" t="s">
        <v>25</v>
      </c>
    </row>
    <row r="6">
      <c r="A6" s="35" t="s">
        <v>652</v>
      </c>
      <c r="B6" s="14"/>
      <c r="C6" s="13" t="s">
        <v>655</v>
      </c>
      <c r="D6" s="14"/>
    </row>
    <row r="7">
      <c r="A7" s="36" t="s">
        <v>657</v>
      </c>
      <c r="B7" s="14"/>
      <c r="C7" s="18" t="s">
        <v>661</v>
      </c>
      <c r="D7" s="14"/>
    </row>
    <row r="8">
      <c r="A8" s="35" t="s">
        <v>664</v>
      </c>
      <c r="B8" s="14"/>
      <c r="C8" s="13" t="s">
        <v>667</v>
      </c>
      <c r="D8" s="14"/>
    </row>
    <row r="9">
      <c r="A9" s="36" t="s">
        <v>673</v>
      </c>
      <c r="B9" s="14"/>
      <c r="C9" s="18" t="s">
        <v>680</v>
      </c>
      <c r="D9" s="14"/>
    </row>
    <row r="10" ht="7.5" customHeight="1"/>
    <row r="11" ht="21.75" customHeight="1">
      <c r="A11" s="5" t="s">
        <v>686</v>
      </c>
      <c r="B11" s="6"/>
      <c r="C11" s="6"/>
      <c r="D11" s="7"/>
    </row>
    <row r="12" ht="19.5" customHeight="1">
      <c r="A12" s="9" t="s">
        <v>690</v>
      </c>
      <c r="B12" s="10" t="s">
        <v>692</v>
      </c>
      <c r="C12" s="10" t="s">
        <v>693</v>
      </c>
      <c r="D12" s="10" t="s">
        <v>694</v>
      </c>
    </row>
    <row r="13">
      <c r="A13" s="11" t="s">
        <v>695</v>
      </c>
      <c r="B13" s="12" t="s">
        <v>696</v>
      </c>
      <c r="C13" s="12" t="s">
        <v>697</v>
      </c>
      <c r="D13" s="12" t="s">
        <v>698</v>
      </c>
    </row>
    <row r="14">
      <c r="A14" s="15" t="s">
        <v>700</v>
      </c>
      <c r="B14" s="17" t="s">
        <v>701</v>
      </c>
      <c r="C14" s="17" t="s">
        <v>702</v>
      </c>
      <c r="D14" s="17" t="s">
        <v>703</v>
      </c>
    </row>
    <row r="15">
      <c r="A15" s="11" t="s">
        <v>704</v>
      </c>
      <c r="B15" s="12" t="s">
        <v>705</v>
      </c>
      <c r="C15" s="12" t="s">
        <v>706</v>
      </c>
      <c r="D15" s="12" t="s">
        <v>707</v>
      </c>
    </row>
    <row r="16">
      <c r="A16" s="15" t="s">
        <v>708</v>
      </c>
      <c r="B16" s="17" t="s">
        <v>709</v>
      </c>
      <c r="C16" s="17" t="s">
        <v>710</v>
      </c>
      <c r="D16" s="17" t="s">
        <v>711</v>
      </c>
    </row>
    <row r="17">
      <c r="A17" s="11" t="s">
        <v>713</v>
      </c>
      <c r="B17" s="12" t="s">
        <v>714</v>
      </c>
      <c r="C17" s="12" t="s">
        <v>715</v>
      </c>
      <c r="D17" s="12" t="s">
        <v>716</v>
      </c>
    </row>
    <row r="18">
      <c r="A18" s="15" t="s">
        <v>717</v>
      </c>
      <c r="B18" s="17" t="s">
        <v>705</v>
      </c>
      <c r="C18" s="17" t="s">
        <v>718</v>
      </c>
      <c r="D18" s="17" t="s">
        <v>719</v>
      </c>
    </row>
    <row r="19">
      <c r="A19" s="11" t="s">
        <v>720</v>
      </c>
      <c r="B19" s="12" t="s">
        <v>721</v>
      </c>
      <c r="C19" s="12" t="s">
        <v>722</v>
      </c>
      <c r="D19" s="12" t="s">
        <v>723</v>
      </c>
    </row>
    <row r="20">
      <c r="A20" s="15" t="s">
        <v>724</v>
      </c>
      <c r="B20" s="17" t="s">
        <v>696</v>
      </c>
      <c r="C20" s="17" t="s">
        <v>726</v>
      </c>
      <c r="D20" s="17" t="s">
        <v>727</v>
      </c>
    </row>
    <row r="21" ht="15.75" customHeight="1">
      <c r="A21" s="11" t="s">
        <v>728</v>
      </c>
      <c r="B21" s="12" t="s">
        <v>729</v>
      </c>
      <c r="C21" s="12" t="s">
        <v>730</v>
      </c>
      <c r="D21" s="12" t="s">
        <v>731</v>
      </c>
    </row>
    <row r="22" ht="15.75" customHeight="1">
      <c r="A22" s="15" t="s">
        <v>732</v>
      </c>
      <c r="B22" s="17" t="s">
        <v>733</v>
      </c>
      <c r="C22" s="17" t="s">
        <v>734</v>
      </c>
      <c r="D22" s="17" t="s">
        <v>735</v>
      </c>
    </row>
    <row r="23" ht="15.75" customHeight="1">
      <c r="A23" s="11" t="s">
        <v>736</v>
      </c>
      <c r="B23" s="12" t="s">
        <v>701</v>
      </c>
      <c r="C23" s="12" t="s">
        <v>737</v>
      </c>
      <c r="D23" s="12" t="s">
        <v>738</v>
      </c>
    </row>
    <row r="24" ht="15.75" customHeight="1">
      <c r="A24" s="15" t="s">
        <v>739</v>
      </c>
      <c r="B24" s="17" t="s">
        <v>740</v>
      </c>
      <c r="C24" s="17" t="s">
        <v>741</v>
      </c>
      <c r="D24" s="17" t="s">
        <v>743</v>
      </c>
    </row>
    <row r="25" ht="7.5" customHeight="1"/>
    <row r="26" ht="21.75" customHeight="1">
      <c r="A26" s="5" t="s">
        <v>744</v>
      </c>
      <c r="B26" s="6"/>
      <c r="C26" s="6"/>
      <c r="D26" s="7"/>
    </row>
    <row r="27" ht="87.75" customHeight="1">
      <c r="A27" s="8" t="s">
        <v>745</v>
      </c>
    </row>
    <row r="28" ht="7.5" customHeight="1"/>
    <row r="29" ht="13.5" customHeight="1">
      <c r="A29" s="19" t="s">
        <v>746</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8:B8"/>
    <mergeCell ref="C8:D8"/>
    <mergeCell ref="A9:B9"/>
    <mergeCell ref="C9:D9"/>
    <mergeCell ref="A11:D11"/>
    <mergeCell ref="A26:D26"/>
    <mergeCell ref="A27:D27"/>
    <mergeCell ref="A29:D29"/>
    <mergeCell ref="A1:D1"/>
    <mergeCell ref="A2:D2"/>
    <mergeCell ref="A4:D4"/>
    <mergeCell ref="A6:B6"/>
    <mergeCell ref="C6:D6"/>
    <mergeCell ref="A7:B7"/>
    <mergeCell ref="C7:D7"/>
  </mergeCell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4.43" defaultRowHeight="15.0"/>
  <cols>
    <col customWidth="1" min="1" max="1" width="30.0"/>
    <col customWidth="1" min="2" max="2" width="20.0"/>
    <col customWidth="1" min="3" max="3" width="46.0"/>
    <col customWidth="1" min="4" max="4" width="30.0"/>
    <col customWidth="1" min="5" max="26" width="8.71"/>
  </cols>
  <sheetData>
    <row r="1" ht="30.0" customHeight="1">
      <c r="A1" s="1" t="s">
        <v>749</v>
      </c>
      <c r="B1" s="2"/>
      <c r="C1" s="2"/>
      <c r="D1" s="3"/>
    </row>
    <row r="2" ht="15.75" customHeight="1">
      <c r="A2" s="4" t="s">
        <v>752</v>
      </c>
    </row>
    <row r="4" ht="21.75" customHeight="1">
      <c r="A4" s="5" t="s">
        <v>753</v>
      </c>
      <c r="B4" s="6"/>
      <c r="C4" s="6"/>
      <c r="D4" s="7"/>
    </row>
    <row r="5" ht="87.75" customHeight="1">
      <c r="A5" s="8" t="s">
        <v>757</v>
      </c>
    </row>
    <row r="6" ht="7.5" customHeight="1"/>
    <row r="7" ht="21.75" customHeight="1">
      <c r="A7" s="5" t="s">
        <v>759</v>
      </c>
      <c r="B7" s="6"/>
      <c r="C7" s="6"/>
      <c r="D7" s="7"/>
    </row>
    <row r="8" ht="19.5" customHeight="1">
      <c r="A8" s="9" t="s">
        <v>763</v>
      </c>
      <c r="B8" s="10" t="s">
        <v>766</v>
      </c>
      <c r="C8" s="10" t="s">
        <v>768</v>
      </c>
      <c r="D8" s="10" t="s">
        <v>304</v>
      </c>
    </row>
    <row r="9">
      <c r="A9" s="11" t="s">
        <v>769</v>
      </c>
      <c r="B9" s="12" t="s">
        <v>770</v>
      </c>
      <c r="C9" s="12" t="s">
        <v>771</v>
      </c>
      <c r="D9" s="12" t="s">
        <v>772</v>
      </c>
    </row>
    <row r="10">
      <c r="A10" s="15" t="s">
        <v>773</v>
      </c>
      <c r="B10" s="17" t="s">
        <v>774</v>
      </c>
      <c r="C10" s="17" t="s">
        <v>775</v>
      </c>
      <c r="D10" s="17" t="s">
        <v>776</v>
      </c>
    </row>
    <row r="11">
      <c r="A11" s="11" t="s">
        <v>777</v>
      </c>
      <c r="B11" s="12" t="s">
        <v>778</v>
      </c>
      <c r="C11" s="12" t="s">
        <v>779</v>
      </c>
      <c r="D11" s="12" t="s">
        <v>780</v>
      </c>
    </row>
    <row r="12">
      <c r="A12" s="15" t="s">
        <v>781</v>
      </c>
      <c r="B12" s="17" t="s">
        <v>782</v>
      </c>
      <c r="C12" s="17" t="s">
        <v>783</v>
      </c>
      <c r="D12" s="17" t="s">
        <v>784</v>
      </c>
    </row>
    <row r="13">
      <c r="A13" s="11" t="s">
        <v>785</v>
      </c>
      <c r="B13" s="12" t="s">
        <v>786</v>
      </c>
      <c r="C13" s="12" t="s">
        <v>788</v>
      </c>
      <c r="D13" s="12" t="s">
        <v>789</v>
      </c>
    </row>
    <row r="14">
      <c r="A14" s="15" t="s">
        <v>791</v>
      </c>
      <c r="B14" s="17" t="s">
        <v>792</v>
      </c>
      <c r="C14" s="17" t="s">
        <v>793</v>
      </c>
      <c r="D14" s="17" t="s">
        <v>794</v>
      </c>
    </row>
    <row r="15" ht="7.5" customHeight="1"/>
    <row r="16" ht="21.75" customHeight="1">
      <c r="A16" s="5" t="s">
        <v>795</v>
      </c>
      <c r="B16" s="6"/>
      <c r="C16" s="6"/>
      <c r="D16" s="7"/>
    </row>
    <row r="17" ht="111.75" customHeight="1">
      <c r="A17" s="8" t="s">
        <v>797</v>
      </c>
    </row>
    <row r="18" ht="7.5" customHeight="1"/>
    <row r="19" ht="21.75" customHeight="1">
      <c r="A19" s="5" t="s">
        <v>799</v>
      </c>
      <c r="B19" s="6"/>
      <c r="C19" s="6"/>
      <c r="D19" s="7"/>
    </row>
    <row r="20" ht="19.5" customHeight="1">
      <c r="A20" s="9" t="s">
        <v>801</v>
      </c>
      <c r="B20" s="10" t="s">
        <v>802</v>
      </c>
      <c r="C20" s="10" t="s">
        <v>21</v>
      </c>
      <c r="D20" s="10" t="s">
        <v>803</v>
      </c>
    </row>
    <row r="21" ht="15.75" customHeight="1">
      <c r="A21" s="11" t="s">
        <v>805</v>
      </c>
      <c r="B21" s="12" t="s">
        <v>807</v>
      </c>
      <c r="C21" s="12" t="s">
        <v>810</v>
      </c>
      <c r="D21" s="12" t="s">
        <v>811</v>
      </c>
    </row>
    <row r="22" ht="15.75" customHeight="1">
      <c r="A22" s="15" t="s">
        <v>813</v>
      </c>
      <c r="B22" s="17" t="s">
        <v>814</v>
      </c>
      <c r="C22" s="17" t="s">
        <v>816</v>
      </c>
      <c r="D22" s="17" t="s">
        <v>817</v>
      </c>
    </row>
    <row r="23" ht="15.75" customHeight="1">
      <c r="A23" s="11" t="s">
        <v>819</v>
      </c>
      <c r="B23" s="12" t="s">
        <v>820</v>
      </c>
      <c r="C23" s="12" t="s">
        <v>822</v>
      </c>
      <c r="D23" s="12" t="s">
        <v>824</v>
      </c>
    </row>
    <row r="24" ht="15.75" customHeight="1">
      <c r="A24" s="15" t="s">
        <v>825</v>
      </c>
      <c r="B24" s="17" t="s">
        <v>827</v>
      </c>
      <c r="C24" s="17" t="s">
        <v>828</v>
      </c>
      <c r="D24" s="17" t="s">
        <v>830</v>
      </c>
    </row>
    <row r="25" ht="15.75" customHeight="1">
      <c r="A25" s="11" t="s">
        <v>832</v>
      </c>
      <c r="B25" s="12" t="s">
        <v>834</v>
      </c>
      <c r="C25" s="12" t="s">
        <v>836</v>
      </c>
      <c r="D25" s="12" t="s">
        <v>838</v>
      </c>
    </row>
    <row r="26" ht="15.75" customHeight="1">
      <c r="A26" s="15" t="s">
        <v>841</v>
      </c>
      <c r="B26" s="17" t="s">
        <v>844</v>
      </c>
      <c r="C26" s="17" t="s">
        <v>846</v>
      </c>
      <c r="D26" s="17" t="s">
        <v>848</v>
      </c>
    </row>
    <row r="27" ht="7.5" customHeight="1"/>
    <row r="28" ht="21.75" customHeight="1">
      <c r="A28" s="5" t="s">
        <v>851</v>
      </c>
      <c r="B28" s="6"/>
      <c r="C28" s="6"/>
      <c r="D28" s="7"/>
    </row>
    <row r="29" ht="79.5" customHeight="1">
      <c r="A29" s="8" t="s">
        <v>856</v>
      </c>
    </row>
    <row r="30" ht="7.5" customHeight="1"/>
    <row r="31" ht="13.5" customHeight="1">
      <c r="A31" s="19" t="s">
        <v>858</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9:D19"/>
    <mergeCell ref="A28:D28"/>
    <mergeCell ref="A29:D29"/>
    <mergeCell ref="A31:D31"/>
    <mergeCell ref="A1:D1"/>
    <mergeCell ref="A2:D2"/>
    <mergeCell ref="A4:D4"/>
    <mergeCell ref="A5:D5"/>
    <mergeCell ref="A7:D7"/>
    <mergeCell ref="A16:D16"/>
    <mergeCell ref="A17:D17"/>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D32"/>
    <pageSetUpPr/>
  </sheetPr>
  <sheetViews>
    <sheetView workbookViewId="0"/>
  </sheetViews>
  <sheetFormatPr customHeight="1" defaultColWidth="14.43" defaultRowHeight="15.0"/>
  <cols>
    <col customWidth="1" min="1" max="1" width="30.0"/>
    <col customWidth="1" min="2" max="2" width="22.0"/>
    <col customWidth="1" min="3" max="3" width="44.0"/>
    <col customWidth="1" min="4" max="4" width="30.0"/>
    <col customWidth="1" min="5" max="26" width="8.71"/>
  </cols>
  <sheetData>
    <row r="1" ht="30.0" customHeight="1">
      <c r="A1" s="1" t="s">
        <v>796</v>
      </c>
      <c r="B1" s="2"/>
      <c r="C1" s="2"/>
      <c r="D1" s="3"/>
    </row>
    <row r="2" ht="15.75" customHeight="1">
      <c r="A2" s="4" t="s">
        <v>798</v>
      </c>
    </row>
    <row r="4" ht="21.75" customHeight="1">
      <c r="A4" s="5" t="s">
        <v>800</v>
      </c>
      <c r="B4" s="6"/>
      <c r="C4" s="6"/>
      <c r="D4" s="7"/>
    </row>
    <row r="5" ht="19.5" customHeight="1">
      <c r="A5" s="9" t="s">
        <v>625</v>
      </c>
      <c r="B5" s="10" t="s">
        <v>806</v>
      </c>
      <c r="C5" s="10" t="s">
        <v>809</v>
      </c>
      <c r="D5" s="10" t="s">
        <v>812</v>
      </c>
    </row>
    <row r="6">
      <c r="A6" s="11" t="s">
        <v>815</v>
      </c>
      <c r="B6" s="12" t="s">
        <v>818</v>
      </c>
      <c r="C6" s="12" t="s">
        <v>821</v>
      </c>
      <c r="D6" s="12" t="s">
        <v>823</v>
      </c>
    </row>
    <row r="7">
      <c r="A7" s="15" t="s">
        <v>826</v>
      </c>
      <c r="B7" s="17" t="s">
        <v>829</v>
      </c>
      <c r="C7" s="17" t="s">
        <v>833</v>
      </c>
      <c r="D7" s="17" t="s">
        <v>835</v>
      </c>
    </row>
    <row r="8">
      <c r="A8" s="11" t="s">
        <v>164</v>
      </c>
      <c r="B8" s="12" t="s">
        <v>839</v>
      </c>
      <c r="C8" s="12" t="s">
        <v>840</v>
      </c>
      <c r="D8" s="12" t="s">
        <v>843</v>
      </c>
    </row>
    <row r="9">
      <c r="A9" s="15" t="s">
        <v>845</v>
      </c>
      <c r="B9" s="17" t="s">
        <v>847</v>
      </c>
      <c r="C9" s="17" t="s">
        <v>849</v>
      </c>
      <c r="D9" s="17" t="s">
        <v>850</v>
      </c>
    </row>
    <row r="10">
      <c r="A10" s="11" t="s">
        <v>852</v>
      </c>
      <c r="B10" s="12" t="s">
        <v>853</v>
      </c>
      <c r="C10" s="12" t="s">
        <v>854</v>
      </c>
      <c r="D10" s="12" t="s">
        <v>855</v>
      </c>
    </row>
    <row r="11" ht="7.5" customHeight="1"/>
    <row r="12" ht="21.75" customHeight="1">
      <c r="A12" s="5" t="s">
        <v>857</v>
      </c>
      <c r="B12" s="6"/>
      <c r="C12" s="6"/>
      <c r="D12" s="7"/>
    </row>
    <row r="13" ht="19.5" customHeight="1">
      <c r="A13" s="9" t="s">
        <v>234</v>
      </c>
      <c r="B13" s="10" t="s">
        <v>241</v>
      </c>
      <c r="C13" s="10" t="s">
        <v>21</v>
      </c>
      <c r="D13" s="10" t="s">
        <v>25</v>
      </c>
    </row>
    <row r="14">
      <c r="A14" s="11" t="s">
        <v>859</v>
      </c>
      <c r="B14" s="12" t="s">
        <v>250</v>
      </c>
      <c r="C14" s="13" t="s">
        <v>860</v>
      </c>
      <c r="D14" s="14"/>
    </row>
    <row r="15">
      <c r="A15" s="15" t="s">
        <v>861</v>
      </c>
      <c r="B15" s="17" t="s">
        <v>862</v>
      </c>
      <c r="C15" s="18" t="s">
        <v>863</v>
      </c>
      <c r="D15" s="14"/>
    </row>
    <row r="16">
      <c r="A16" s="11" t="s">
        <v>864</v>
      </c>
      <c r="B16" s="12" t="s">
        <v>865</v>
      </c>
      <c r="C16" s="13" t="s">
        <v>866</v>
      </c>
      <c r="D16" s="14"/>
    </row>
    <row r="17">
      <c r="A17" s="15" t="s">
        <v>867</v>
      </c>
      <c r="B17" s="17" t="s">
        <v>868</v>
      </c>
      <c r="C17" s="18" t="s">
        <v>869</v>
      </c>
      <c r="D17" s="14"/>
    </row>
    <row r="18">
      <c r="A18" s="11" t="s">
        <v>870</v>
      </c>
      <c r="B18" s="12" t="s">
        <v>871</v>
      </c>
      <c r="C18" s="13" t="s">
        <v>872</v>
      </c>
      <c r="D18" s="14"/>
    </row>
    <row r="19" ht="7.5" customHeight="1"/>
    <row r="20" ht="21.75" customHeight="1">
      <c r="A20" s="5" t="s">
        <v>873</v>
      </c>
      <c r="B20" s="6"/>
      <c r="C20" s="6"/>
      <c r="D20" s="7"/>
    </row>
    <row r="21" ht="96.0" customHeight="1">
      <c r="A21" s="8" t="s">
        <v>874</v>
      </c>
    </row>
    <row r="22" ht="7.5" customHeight="1"/>
    <row r="23" ht="21.75" customHeight="1">
      <c r="A23" s="5" t="s">
        <v>875</v>
      </c>
      <c r="B23" s="6"/>
      <c r="C23" s="6"/>
      <c r="D23" s="7"/>
    </row>
    <row r="24" ht="19.5" customHeight="1">
      <c r="A24" s="9" t="s">
        <v>122</v>
      </c>
      <c r="B24" s="10" t="s">
        <v>876</v>
      </c>
      <c r="C24" s="10" t="s">
        <v>877</v>
      </c>
      <c r="D24" s="10" t="s">
        <v>303</v>
      </c>
    </row>
    <row r="25" ht="15.75" customHeight="1">
      <c r="A25" s="11" t="s">
        <v>878</v>
      </c>
      <c r="B25" s="12" t="s">
        <v>879</v>
      </c>
      <c r="C25" s="12" t="s">
        <v>880</v>
      </c>
      <c r="D25" s="12" t="s">
        <v>881</v>
      </c>
    </row>
    <row r="26" ht="15.75" customHeight="1">
      <c r="A26" s="15" t="s">
        <v>882</v>
      </c>
      <c r="B26" s="17" t="s">
        <v>885</v>
      </c>
      <c r="C26" s="17" t="s">
        <v>886</v>
      </c>
      <c r="D26" s="17" t="s">
        <v>887</v>
      </c>
    </row>
    <row r="27" ht="15.75" customHeight="1">
      <c r="A27" s="11" t="s">
        <v>888</v>
      </c>
      <c r="B27" s="12" t="s">
        <v>889</v>
      </c>
      <c r="C27" s="12" t="s">
        <v>890</v>
      </c>
      <c r="D27" s="12" t="s">
        <v>891</v>
      </c>
    </row>
    <row r="28" ht="15.75" customHeight="1">
      <c r="A28" s="15" t="s">
        <v>892</v>
      </c>
      <c r="B28" s="17" t="s">
        <v>893</v>
      </c>
      <c r="C28" s="17" t="s">
        <v>894</v>
      </c>
      <c r="D28" s="17" t="s">
        <v>895</v>
      </c>
    </row>
    <row r="29" ht="15.75" customHeight="1">
      <c r="A29" s="11" t="s">
        <v>896</v>
      </c>
      <c r="B29" s="12" t="s">
        <v>897</v>
      </c>
      <c r="C29" s="12" t="s">
        <v>898</v>
      </c>
      <c r="D29" s="12" t="s">
        <v>899</v>
      </c>
    </row>
    <row r="30" ht="15.75" customHeight="1">
      <c r="A30" s="15" t="s">
        <v>900</v>
      </c>
      <c r="B30" s="17" t="s">
        <v>901</v>
      </c>
      <c r="C30" s="17" t="s">
        <v>902</v>
      </c>
      <c r="D30" s="17" t="s">
        <v>903</v>
      </c>
    </row>
    <row r="31" ht="15.75" customHeight="1">
      <c r="A31" s="11" t="s">
        <v>904</v>
      </c>
      <c r="B31" s="12" t="s">
        <v>905</v>
      </c>
      <c r="C31" s="12" t="s">
        <v>906</v>
      </c>
      <c r="D31" s="12" t="s">
        <v>907</v>
      </c>
    </row>
    <row r="32" ht="87.75" customHeight="1">
      <c r="A32" s="8" t="s">
        <v>908</v>
      </c>
    </row>
    <row r="33" ht="7.5" customHeight="1"/>
    <row r="34" ht="21.75" customHeight="1">
      <c r="A34" s="5" t="s">
        <v>909</v>
      </c>
      <c r="B34" s="6"/>
      <c r="C34" s="6"/>
      <c r="D34" s="7"/>
    </row>
    <row r="35" ht="19.5" customHeight="1">
      <c r="A35" s="9" t="s">
        <v>910</v>
      </c>
      <c r="B35" s="10" t="s">
        <v>25</v>
      </c>
      <c r="C35" s="10" t="s">
        <v>911</v>
      </c>
      <c r="D35" s="10" t="s">
        <v>25</v>
      </c>
    </row>
    <row r="36" ht="15.75" customHeight="1">
      <c r="A36" s="35" t="s">
        <v>912</v>
      </c>
      <c r="B36" s="14"/>
      <c r="C36" s="13" t="s">
        <v>914</v>
      </c>
      <c r="D36" s="14"/>
    </row>
    <row r="37" ht="15.75" customHeight="1">
      <c r="A37" s="36" t="s">
        <v>916</v>
      </c>
      <c r="B37" s="14"/>
      <c r="C37" s="18" t="s">
        <v>25</v>
      </c>
      <c r="D37" s="14"/>
    </row>
    <row r="38" ht="7.5" customHeight="1"/>
    <row r="39" ht="13.5" customHeight="1">
      <c r="A39" s="19" t="s">
        <v>919</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D1"/>
    <mergeCell ref="A2:D2"/>
    <mergeCell ref="A4:D4"/>
    <mergeCell ref="A12:D12"/>
    <mergeCell ref="C14:D14"/>
    <mergeCell ref="C15:D15"/>
    <mergeCell ref="C16:D16"/>
    <mergeCell ref="A36:B36"/>
    <mergeCell ref="C36:D36"/>
    <mergeCell ref="A37:B37"/>
    <mergeCell ref="C37:D37"/>
    <mergeCell ref="A39:D39"/>
    <mergeCell ref="C17:D17"/>
    <mergeCell ref="C18:D18"/>
    <mergeCell ref="A20:D20"/>
    <mergeCell ref="A21:D21"/>
    <mergeCell ref="A23:D23"/>
    <mergeCell ref="A32:D32"/>
    <mergeCell ref="A34:D34"/>
  </mergeCell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F6400"/>
    <pageSetUpPr/>
  </sheetPr>
  <sheetViews>
    <sheetView workbookViewId="0"/>
  </sheetViews>
  <sheetFormatPr customHeight="1" defaultColWidth="14.43" defaultRowHeight="15.0"/>
  <cols>
    <col customWidth="1" min="1" max="1" width="36.0"/>
    <col customWidth="1" min="2" max="2" width="56.0"/>
    <col customWidth="1" min="3" max="3" width="34.0"/>
    <col customWidth="1" min="4" max="26" width="8.71"/>
  </cols>
  <sheetData>
    <row r="1" ht="30.0" customHeight="1">
      <c r="A1" s="1" t="s">
        <v>913</v>
      </c>
      <c r="B1" s="2"/>
      <c r="C1" s="3"/>
    </row>
    <row r="2" ht="15.75" customHeight="1">
      <c r="A2" s="4" t="s">
        <v>915</v>
      </c>
    </row>
    <row r="4" ht="21.75" customHeight="1">
      <c r="A4" s="5" t="s">
        <v>917</v>
      </c>
      <c r="B4" s="6"/>
      <c r="C4" s="7"/>
    </row>
    <row r="5" ht="19.5" customHeight="1">
      <c r="A5" s="9" t="s">
        <v>918</v>
      </c>
      <c r="B5" s="10" t="s">
        <v>920</v>
      </c>
      <c r="C5" s="10" t="s">
        <v>921</v>
      </c>
    </row>
    <row r="6">
      <c r="A6" s="11" t="s">
        <v>922</v>
      </c>
      <c r="B6" s="12" t="s">
        <v>923</v>
      </c>
      <c r="C6" s="12" t="s">
        <v>924</v>
      </c>
    </row>
    <row r="7">
      <c r="A7" s="15" t="s">
        <v>925</v>
      </c>
      <c r="B7" s="17" t="s">
        <v>926</v>
      </c>
      <c r="C7" s="17" t="s">
        <v>927</v>
      </c>
    </row>
    <row r="8">
      <c r="A8" s="11" t="s">
        <v>928</v>
      </c>
      <c r="B8" s="12" t="s">
        <v>929</v>
      </c>
      <c r="C8" s="12" t="s">
        <v>930</v>
      </c>
    </row>
    <row r="9">
      <c r="A9" s="15" t="s">
        <v>931</v>
      </c>
      <c r="B9" s="17" t="s">
        <v>932</v>
      </c>
      <c r="C9" s="17" t="s">
        <v>933</v>
      </c>
    </row>
    <row r="10" ht="7.5" customHeight="1"/>
    <row r="11" ht="21.75" customHeight="1">
      <c r="A11" s="5" t="s">
        <v>934</v>
      </c>
      <c r="B11" s="6"/>
      <c r="C11" s="7"/>
    </row>
    <row r="12" ht="19.5" customHeight="1">
      <c r="A12" s="9" t="s">
        <v>935</v>
      </c>
      <c r="B12" s="10" t="s">
        <v>936</v>
      </c>
      <c r="C12" s="10" t="s">
        <v>921</v>
      </c>
    </row>
    <row r="13">
      <c r="A13" s="11" t="s">
        <v>937</v>
      </c>
      <c r="B13" s="12" t="s">
        <v>938</v>
      </c>
      <c r="C13" s="12" t="s">
        <v>939</v>
      </c>
    </row>
    <row r="14">
      <c r="A14" s="15" t="s">
        <v>940</v>
      </c>
      <c r="B14" s="17" t="s">
        <v>941</v>
      </c>
      <c r="C14" s="17" t="s">
        <v>942</v>
      </c>
    </row>
    <row r="15">
      <c r="A15" s="11" t="s">
        <v>943</v>
      </c>
      <c r="B15" s="12" t="s">
        <v>944</v>
      </c>
      <c r="C15" s="12" t="s">
        <v>945</v>
      </c>
    </row>
    <row r="16">
      <c r="A16" s="15" t="s">
        <v>946</v>
      </c>
      <c r="B16" s="17" t="s">
        <v>947</v>
      </c>
      <c r="C16" s="17" t="s">
        <v>948</v>
      </c>
    </row>
    <row r="17">
      <c r="A17" s="11" t="s">
        <v>949</v>
      </c>
      <c r="B17" s="12" t="s">
        <v>950</v>
      </c>
      <c r="C17" s="12" t="s">
        <v>951</v>
      </c>
    </row>
    <row r="18">
      <c r="A18" s="15" t="s">
        <v>952</v>
      </c>
      <c r="B18" s="17" t="s">
        <v>953</v>
      </c>
      <c r="C18" s="17" t="s">
        <v>954</v>
      </c>
    </row>
    <row r="19" ht="7.5" customHeight="1"/>
    <row r="20" ht="21.75" customHeight="1">
      <c r="A20" s="5" t="s">
        <v>955</v>
      </c>
      <c r="B20" s="6"/>
      <c r="C20" s="7"/>
    </row>
    <row r="21" ht="19.5" customHeight="1">
      <c r="A21" s="9" t="s">
        <v>935</v>
      </c>
      <c r="B21" s="10" t="s">
        <v>936</v>
      </c>
      <c r="C21" s="10" t="s">
        <v>921</v>
      </c>
    </row>
    <row r="22" ht="15.75" customHeight="1">
      <c r="A22" s="11" t="s">
        <v>956</v>
      </c>
      <c r="B22" s="12" t="s">
        <v>957</v>
      </c>
      <c r="C22" s="12" t="s">
        <v>958</v>
      </c>
    </row>
    <row r="23" ht="15.75" customHeight="1">
      <c r="A23" s="15" t="s">
        <v>959</v>
      </c>
      <c r="B23" s="17" t="s">
        <v>961</v>
      </c>
      <c r="C23" s="17" t="s">
        <v>962</v>
      </c>
    </row>
    <row r="24" ht="15.75" customHeight="1">
      <c r="A24" s="11" t="s">
        <v>963</v>
      </c>
      <c r="B24" s="12" t="s">
        <v>965</v>
      </c>
      <c r="C24" s="12" t="s">
        <v>967</v>
      </c>
    </row>
    <row r="25" ht="15.75" customHeight="1">
      <c r="A25" s="15" t="s">
        <v>968</v>
      </c>
      <c r="B25" s="17" t="s">
        <v>969</v>
      </c>
      <c r="C25" s="17" t="s">
        <v>971</v>
      </c>
    </row>
    <row r="26" ht="15.75" customHeight="1">
      <c r="A26" s="11" t="s">
        <v>973</v>
      </c>
      <c r="B26" s="12" t="s">
        <v>974</v>
      </c>
      <c r="C26" s="12" t="s">
        <v>975</v>
      </c>
    </row>
    <row r="27" ht="15.75" customHeight="1">
      <c r="A27" s="15" t="s">
        <v>976</v>
      </c>
      <c r="B27" s="17" t="s">
        <v>977</v>
      </c>
      <c r="C27" s="17" t="s">
        <v>979</v>
      </c>
    </row>
    <row r="28" ht="7.5" customHeight="1"/>
    <row r="29" ht="21.75" customHeight="1">
      <c r="A29" s="5" t="s">
        <v>981</v>
      </c>
      <c r="B29" s="6"/>
      <c r="C29" s="7"/>
    </row>
    <row r="30" ht="19.5" customHeight="1">
      <c r="A30" s="9" t="s">
        <v>935</v>
      </c>
      <c r="B30" s="10" t="s">
        <v>936</v>
      </c>
      <c r="C30" s="10" t="s">
        <v>921</v>
      </c>
    </row>
    <row r="31" ht="15.75" customHeight="1">
      <c r="A31" s="11" t="s">
        <v>987</v>
      </c>
      <c r="B31" s="12" t="s">
        <v>988</v>
      </c>
      <c r="C31" s="12" t="s">
        <v>990</v>
      </c>
    </row>
    <row r="32" ht="15.75" customHeight="1">
      <c r="A32" s="15" t="s">
        <v>992</v>
      </c>
      <c r="B32" s="17" t="s">
        <v>993</v>
      </c>
      <c r="C32" s="17" t="s">
        <v>995</v>
      </c>
    </row>
    <row r="33" ht="15.75" customHeight="1">
      <c r="A33" s="11" t="s">
        <v>996</v>
      </c>
      <c r="B33" s="12" t="s">
        <v>999</v>
      </c>
      <c r="C33" s="12" t="s">
        <v>1001</v>
      </c>
    </row>
    <row r="34" ht="15.75" customHeight="1">
      <c r="A34" s="15" t="s">
        <v>1003</v>
      </c>
      <c r="B34" s="17" t="s">
        <v>1005</v>
      </c>
      <c r="C34" s="17" t="s">
        <v>1007</v>
      </c>
    </row>
    <row r="35" ht="7.5" customHeight="1"/>
    <row r="36" ht="13.5" customHeight="1">
      <c r="A36" s="19" t="s">
        <v>1008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1"/>
    <mergeCell ref="A2:C2"/>
    <mergeCell ref="A4:C4"/>
    <mergeCell ref="A11:C11"/>
    <mergeCell ref="A20:C20"/>
    <mergeCell ref="A29:C29"/>
    <mergeCell ref="A36:C36"/>
  </mergeCell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workbookViewId="0"/>
  </sheetViews>
  <sheetFormatPr customHeight="1" defaultColWidth="14.43" defaultRowHeight="15.0"/>
  <cols>
    <col customWidth="1" min="1" max="1" width="34.0"/>
    <col customWidth="1" min="2" max="2" width="52.0"/>
    <col customWidth="1" min="3" max="3" width="18.0"/>
    <col customWidth="1" min="4" max="4" width="30.0"/>
    <col customWidth="1" min="5" max="26" width="8.71"/>
  </cols>
  <sheetData>
    <row r="1" ht="30.0" customHeight="1">
      <c r="A1" s="1" t="s">
        <v>960</v>
      </c>
      <c r="B1" s="2"/>
      <c r="C1" s="2"/>
      <c r="D1" s="3"/>
    </row>
    <row r="2" ht="15.75" customHeight="1">
      <c r="A2" s="4" t="s">
        <v>964</v>
      </c>
    </row>
    <row r="4" ht="21.75" customHeight="1">
      <c r="A4" s="5" t="s">
        <v>966</v>
      </c>
      <c r="B4" s="6"/>
      <c r="C4" s="6"/>
      <c r="D4" s="7"/>
    </row>
    <row r="5" ht="96.0" customHeight="1">
      <c r="A5" s="8" t="s">
        <v>970</v>
      </c>
    </row>
    <row r="6" ht="7.5" customHeight="1"/>
    <row r="7" ht="21.75" customHeight="1">
      <c r="A7" s="5" t="s">
        <v>972</v>
      </c>
      <c r="B7" s="6"/>
      <c r="C7" s="6"/>
      <c r="D7" s="7"/>
    </row>
    <row r="8" ht="19.5" customHeight="1">
      <c r="A8" s="9" t="s">
        <v>877</v>
      </c>
      <c r="B8" s="10" t="s">
        <v>978</v>
      </c>
      <c r="C8" s="10" t="s">
        <v>980</v>
      </c>
      <c r="D8" s="10" t="s">
        <v>982</v>
      </c>
    </row>
    <row r="9">
      <c r="A9" s="11" t="s">
        <v>983</v>
      </c>
      <c r="B9" s="12" t="s">
        <v>984</v>
      </c>
      <c r="C9" s="12" t="s">
        <v>985</v>
      </c>
      <c r="D9" s="12" t="s">
        <v>986</v>
      </c>
    </row>
    <row r="10">
      <c r="A10" s="15" t="s">
        <v>989</v>
      </c>
      <c r="B10" s="17" t="s">
        <v>991</v>
      </c>
      <c r="C10" s="17" t="s">
        <v>985</v>
      </c>
      <c r="D10" s="17" t="s">
        <v>994</v>
      </c>
    </row>
    <row r="11">
      <c r="A11" s="11" t="s">
        <v>997</v>
      </c>
      <c r="B11" s="12" t="s">
        <v>998</v>
      </c>
      <c r="C11" s="12" t="s">
        <v>1000</v>
      </c>
      <c r="D11" s="12" t="s">
        <v>1002</v>
      </c>
    </row>
    <row r="12">
      <c r="A12" s="15" t="s">
        <v>1004</v>
      </c>
      <c r="B12" s="17" t="s">
        <v>1006</v>
      </c>
      <c r="C12" s="17" t="s">
        <v>985</v>
      </c>
      <c r="D12" s="17" t="s">
        <v>1009</v>
      </c>
    </row>
    <row r="13">
      <c r="A13" s="11" t="s">
        <v>1010</v>
      </c>
      <c r="B13" s="12" t="s">
        <v>1011</v>
      </c>
      <c r="C13" s="12" t="s">
        <v>985</v>
      </c>
      <c r="D13" s="12" t="s">
        <v>1012</v>
      </c>
    </row>
    <row r="14">
      <c r="A14" s="15" t="s">
        <v>1013</v>
      </c>
      <c r="B14" s="17" t="s">
        <v>1014</v>
      </c>
      <c r="C14" s="17" t="s">
        <v>985</v>
      </c>
      <c r="D14" s="17" t="s">
        <v>1015</v>
      </c>
    </row>
    <row r="15">
      <c r="A15" s="11" t="s">
        <v>1016</v>
      </c>
      <c r="B15" s="12" t="s">
        <v>1017</v>
      </c>
      <c r="C15" s="12" t="s">
        <v>985</v>
      </c>
      <c r="D15" s="12" t="s">
        <v>1018</v>
      </c>
    </row>
    <row r="16">
      <c r="A16" s="15" t="s">
        <v>1019</v>
      </c>
      <c r="B16" s="17" t="s">
        <v>1020</v>
      </c>
      <c r="C16" s="17" t="s">
        <v>985</v>
      </c>
      <c r="D16" s="17" t="s">
        <v>1021</v>
      </c>
    </row>
    <row r="17">
      <c r="A17" s="11" t="s">
        <v>1022</v>
      </c>
      <c r="B17" s="12" t="s">
        <v>1023</v>
      </c>
      <c r="C17" s="12" t="s">
        <v>985</v>
      </c>
      <c r="D17" s="12" t="s">
        <v>1024</v>
      </c>
    </row>
    <row r="18">
      <c r="A18" s="15" t="s">
        <v>1025</v>
      </c>
      <c r="B18" s="17" t="s">
        <v>1026</v>
      </c>
      <c r="C18" s="17" t="s">
        <v>985</v>
      </c>
      <c r="D18" s="17" t="s">
        <v>1027</v>
      </c>
    </row>
    <row r="19">
      <c r="A19" s="11" t="s">
        <v>1028</v>
      </c>
      <c r="B19" s="12" t="s">
        <v>1029</v>
      </c>
      <c r="C19" s="12" t="s">
        <v>1030</v>
      </c>
      <c r="D19" s="12" t="s">
        <v>1031</v>
      </c>
    </row>
    <row r="20" ht="7.5" customHeight="1"/>
    <row r="21" ht="21.75" customHeight="1">
      <c r="A21" s="5" t="s">
        <v>1032</v>
      </c>
      <c r="B21" s="6"/>
      <c r="C21" s="6"/>
      <c r="D21" s="7"/>
    </row>
    <row r="22" ht="19.5" customHeight="1">
      <c r="A22" s="9" t="s">
        <v>877</v>
      </c>
      <c r="B22" s="10" t="s">
        <v>978</v>
      </c>
      <c r="C22" s="10" t="s">
        <v>980</v>
      </c>
      <c r="D22" s="10" t="s">
        <v>982</v>
      </c>
    </row>
    <row r="23" ht="15.75" customHeight="1">
      <c r="A23" s="11" t="s">
        <v>1033</v>
      </c>
      <c r="B23" s="12" t="s">
        <v>1034</v>
      </c>
      <c r="C23" s="12" t="s">
        <v>985</v>
      </c>
      <c r="D23" s="12" t="s">
        <v>1035</v>
      </c>
    </row>
    <row r="24" ht="15.75" customHeight="1">
      <c r="A24" s="15" t="s">
        <v>1036</v>
      </c>
      <c r="B24" s="17" t="s">
        <v>1037</v>
      </c>
      <c r="C24" s="17" t="s">
        <v>985</v>
      </c>
      <c r="D24" s="17" t="s">
        <v>1038</v>
      </c>
    </row>
    <row r="25" ht="15.75" customHeight="1">
      <c r="A25" s="11" t="s">
        <v>1039</v>
      </c>
      <c r="B25" s="12" t="s">
        <v>1040</v>
      </c>
      <c r="C25" s="12" t="s">
        <v>1041</v>
      </c>
      <c r="D25" s="12" t="s">
        <v>1042</v>
      </c>
    </row>
    <row r="26" ht="15.75" customHeight="1">
      <c r="A26" s="15" t="s">
        <v>1043</v>
      </c>
      <c r="B26" s="17" t="s">
        <v>1044</v>
      </c>
      <c r="C26" s="17" t="s">
        <v>1041</v>
      </c>
      <c r="D26" s="17" t="s">
        <v>1045</v>
      </c>
    </row>
    <row r="27" ht="15.75" customHeight="1">
      <c r="A27" s="11" t="s">
        <v>1046</v>
      </c>
      <c r="B27" s="12" t="s">
        <v>1047</v>
      </c>
      <c r="C27" s="12" t="s">
        <v>985</v>
      </c>
      <c r="D27" s="12" t="s">
        <v>1048</v>
      </c>
    </row>
    <row r="28" ht="15.75" customHeight="1">
      <c r="A28" s="15" t="s">
        <v>1049</v>
      </c>
      <c r="B28" s="17" t="s">
        <v>1050</v>
      </c>
      <c r="C28" s="17" t="s">
        <v>985</v>
      </c>
      <c r="D28" s="17" t="s">
        <v>1051</v>
      </c>
    </row>
    <row r="29" ht="15.75" customHeight="1">
      <c r="A29" s="11" t="s">
        <v>1052</v>
      </c>
      <c r="B29" s="12" t="s">
        <v>1053</v>
      </c>
      <c r="C29" s="12" t="s">
        <v>1054</v>
      </c>
      <c r="D29" s="12" t="s">
        <v>1055</v>
      </c>
    </row>
    <row r="30" ht="15.75" customHeight="1">
      <c r="A30" s="15" t="s">
        <v>1056</v>
      </c>
      <c r="B30" s="17" t="s">
        <v>1057</v>
      </c>
      <c r="C30" s="17" t="s">
        <v>1054</v>
      </c>
      <c r="D30" s="17" t="s">
        <v>1058</v>
      </c>
    </row>
    <row r="31" ht="15.75" customHeight="1">
      <c r="A31" s="11" t="s">
        <v>1059</v>
      </c>
      <c r="B31" s="12" t="s">
        <v>1060</v>
      </c>
      <c r="C31" s="12" t="s">
        <v>1041</v>
      </c>
      <c r="D31" s="12" t="s">
        <v>1061</v>
      </c>
    </row>
    <row r="32" ht="15.75" customHeight="1">
      <c r="A32" s="15" t="s">
        <v>1062</v>
      </c>
      <c r="B32" s="17" t="s">
        <v>1063</v>
      </c>
      <c r="C32" s="17" t="s">
        <v>985</v>
      </c>
      <c r="D32" s="17" t="s">
        <v>1064</v>
      </c>
    </row>
    <row r="33" ht="15.75" customHeight="1">
      <c r="A33" s="11" t="s">
        <v>1065</v>
      </c>
      <c r="B33" s="12" t="s">
        <v>1066</v>
      </c>
      <c r="C33" s="12" t="s">
        <v>1067</v>
      </c>
      <c r="D33" s="12" t="s">
        <v>1068</v>
      </c>
    </row>
    <row r="34" ht="15.75" customHeight="1">
      <c r="A34" s="15" t="s">
        <v>1069</v>
      </c>
      <c r="B34" s="17" t="s">
        <v>1070</v>
      </c>
      <c r="C34" s="17" t="s">
        <v>985</v>
      </c>
      <c r="D34" s="17" t="s">
        <v>1071</v>
      </c>
    </row>
    <row r="35" ht="7.5" customHeight="1"/>
    <row r="36" ht="21.75" customHeight="1">
      <c r="A36" s="5" t="s">
        <v>1072</v>
      </c>
      <c r="B36" s="6"/>
      <c r="C36" s="6"/>
      <c r="D36" s="7"/>
    </row>
    <row r="37" ht="19.5" customHeight="1">
      <c r="A37" s="9" t="s">
        <v>877</v>
      </c>
      <c r="B37" s="10" t="s">
        <v>978</v>
      </c>
      <c r="C37" s="10" t="s">
        <v>980</v>
      </c>
      <c r="D37" s="10" t="s">
        <v>982</v>
      </c>
    </row>
    <row r="38" ht="15.75" customHeight="1">
      <c r="A38" s="11" t="s">
        <v>1073</v>
      </c>
      <c r="B38" s="12" t="s">
        <v>1074</v>
      </c>
      <c r="C38" s="12" t="s">
        <v>1075</v>
      </c>
      <c r="D38" s="12" t="s">
        <v>1076</v>
      </c>
    </row>
    <row r="39" ht="15.75" customHeight="1">
      <c r="A39" s="15" t="s">
        <v>1077</v>
      </c>
      <c r="B39" s="17" t="s">
        <v>1078</v>
      </c>
      <c r="C39" s="17" t="s">
        <v>1079</v>
      </c>
      <c r="D39" s="17" t="s">
        <v>1080</v>
      </c>
    </row>
    <row r="40" ht="15.75" customHeight="1">
      <c r="A40" s="11" t="s">
        <v>1081</v>
      </c>
      <c r="B40" s="12" t="s">
        <v>1082</v>
      </c>
      <c r="C40" s="12" t="s">
        <v>1083</v>
      </c>
      <c r="D40" s="12" t="s">
        <v>1084</v>
      </c>
    </row>
    <row r="41" ht="15.75" customHeight="1">
      <c r="A41" s="15" t="s">
        <v>1085</v>
      </c>
      <c r="B41" s="17" t="s">
        <v>1086</v>
      </c>
      <c r="C41" s="17" t="s">
        <v>1087</v>
      </c>
      <c r="D41" s="17" t="s">
        <v>1088</v>
      </c>
    </row>
    <row r="42" ht="15.75" customHeight="1">
      <c r="A42" s="11" t="s">
        <v>1089</v>
      </c>
      <c r="B42" s="12" t="s">
        <v>1090</v>
      </c>
      <c r="C42" s="12" t="s">
        <v>1091</v>
      </c>
      <c r="D42" s="12" t="s">
        <v>1092</v>
      </c>
    </row>
    <row r="43" ht="15.75" customHeight="1">
      <c r="A43" s="15" t="s">
        <v>1093</v>
      </c>
      <c r="B43" s="17" t="s">
        <v>1094</v>
      </c>
      <c r="C43" s="17" t="s">
        <v>985</v>
      </c>
      <c r="D43" s="17" t="s">
        <v>1095</v>
      </c>
    </row>
    <row r="44" ht="7.5" customHeight="1"/>
    <row r="45" ht="21.75" customHeight="1">
      <c r="A45" s="5" t="s">
        <v>1096</v>
      </c>
      <c r="B45" s="6"/>
      <c r="C45" s="6"/>
      <c r="D45" s="7"/>
    </row>
    <row r="46" ht="87.75" customHeight="1">
      <c r="A46" s="8" t="s">
        <v>1097</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5:D45"/>
    <mergeCell ref="A46:D46"/>
    <mergeCell ref="A1:D1"/>
    <mergeCell ref="A2:D2"/>
    <mergeCell ref="A4:D4"/>
    <mergeCell ref="A5:D5"/>
    <mergeCell ref="A7:D7"/>
    <mergeCell ref="A21:D21"/>
    <mergeCell ref="A36:D36"/>
  </mergeCells>
  <printOptions/>
  <pageMargins bottom="0.75" footer="0.0" header="0.0" left="0.7" right="0.7" top="0.75"/>
  <pageSetup orientation="portrait"/>
  <drawing r:id="rId1"/>
</worksheet>
</file>